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Tischplan" state="visible" r:id="rId4"/>
    <sheet sheetId="2" name="Sortierung Zimmer" state="visible" r:id="rId5"/>
  </sheets>
  <definedNames>
    <definedName name="_xlnm.Print_Area" localSheetId="0">'Tischplan'!$B1:$G68</definedName>
  </definedNames>
  <calcPr calcId="171027"/>
</workbook>
</file>

<file path=xl/sharedStrings.xml><?xml version="1.0" encoding="utf-8"?>
<sst xmlns="http://schemas.openxmlformats.org/spreadsheetml/2006/main" count="485" uniqueCount="185">
  <si>
    <t>TW</t>
  </si>
  <si>
    <t>30. Juni - Dienstag</t>
  </si>
  <si>
    <t xml:space="preserve">Panorama Restaurant </t>
  </si>
  <si>
    <t>Neue Restaurants</t>
  </si>
  <si>
    <t xml:space="preserve"> </t>
  </si>
  <si>
    <t>Tisch</t>
  </si>
  <si>
    <t>Zimmer</t>
  </si>
  <si>
    <t>Status</t>
  </si>
  <si>
    <t>Gastname</t>
  </si>
  <si>
    <t>Pax</t>
  </si>
  <si>
    <t>Extras</t>
  </si>
  <si>
    <t>105</t>
  </si>
  <si>
    <t>Berg</t>
  </si>
  <si>
    <t>Rollstuhl</t>
  </si>
  <si>
    <t>202</t>
  </si>
  <si>
    <t>AB</t>
  </si>
  <si>
    <t>Grube3</t>
  </si>
  <si>
    <t>2004</t>
  </si>
  <si>
    <t>Cranz</t>
  </si>
  <si>
    <t>2</t>
  </si>
  <si>
    <t>117</t>
  </si>
  <si>
    <t>Hain3</t>
  </si>
  <si>
    <t>501</t>
  </si>
  <si>
    <t>Dorn</t>
  </si>
  <si>
    <t>2010</t>
  </si>
  <si>
    <t>Ilg3</t>
  </si>
  <si>
    <t>2009</t>
  </si>
  <si>
    <t>Eiche, Falk</t>
  </si>
  <si>
    <t>714</t>
  </si>
  <si>
    <t>205</t>
  </si>
  <si>
    <t>Jost3</t>
  </si>
  <si>
    <t>514</t>
  </si>
  <si>
    <t>Grube, Hain</t>
  </si>
  <si>
    <t>102</t>
  </si>
  <si>
    <t>Kern3</t>
  </si>
  <si>
    <t>503</t>
  </si>
  <si>
    <t>AN</t>
  </si>
  <si>
    <t>Ilg</t>
  </si>
  <si>
    <t>2003</t>
  </si>
  <si>
    <t>Lerch3, Moser3</t>
  </si>
  <si>
    <t>2008</t>
  </si>
  <si>
    <t>Jost, Kern</t>
  </si>
  <si>
    <t>504</t>
  </si>
  <si>
    <t>Nolte3</t>
  </si>
  <si>
    <t>110</t>
  </si>
  <si>
    <t>Ohler3, Pfau3</t>
  </si>
  <si>
    <t>208</t>
  </si>
  <si>
    <t>Moser, Nolte, Ohler</t>
  </si>
  <si>
    <t>622</t>
  </si>
  <si>
    <t>109</t>
  </si>
  <si>
    <t>Pfau</t>
  </si>
  <si>
    <t>513</t>
  </si>
  <si>
    <t>Quint3</t>
  </si>
  <si>
    <t>Early Check in</t>
  </si>
  <si>
    <t>502</t>
  </si>
  <si>
    <t>Quint</t>
  </si>
  <si>
    <t>3</t>
  </si>
  <si>
    <t>112</t>
  </si>
  <si>
    <t>Rabe3</t>
  </si>
  <si>
    <t>402</t>
  </si>
  <si>
    <t>Rabe</t>
  </si>
  <si>
    <t>403</t>
  </si>
  <si>
    <t>Stein3</t>
  </si>
  <si>
    <t>203</t>
  </si>
  <si>
    <t>Stein</t>
  </si>
  <si>
    <t>512</t>
  </si>
  <si>
    <t>Thal3</t>
  </si>
  <si>
    <t>215</t>
  </si>
  <si>
    <t>Thal</t>
  </si>
  <si>
    <t>307</t>
  </si>
  <si>
    <t>Ulm3</t>
  </si>
  <si>
    <t>Laktosefrei</t>
  </si>
  <si>
    <t>726</t>
  </si>
  <si>
    <t>108,204</t>
  </si>
  <si>
    <t>Vogel3, Eiche</t>
  </si>
  <si>
    <t>507</t>
  </si>
  <si>
    <t>Vogel</t>
  </si>
  <si>
    <t>727</t>
  </si>
  <si>
    <t>106</t>
  </si>
  <si>
    <t>Wild3</t>
  </si>
  <si>
    <t>Geburtstag</t>
  </si>
  <si>
    <t>632</t>
  </si>
  <si>
    <t>119</t>
  </si>
  <si>
    <t>Wild</t>
  </si>
  <si>
    <t>510</t>
  </si>
  <si>
    <t>Eiche</t>
  </si>
  <si>
    <t>633</t>
  </si>
  <si>
    <t>404</t>
  </si>
  <si>
    <t>Eiche, Zank</t>
  </si>
  <si>
    <t>111</t>
  </si>
  <si>
    <t>Adler2</t>
  </si>
  <si>
    <t>216</t>
  </si>
  <si>
    <t>201</t>
  </si>
  <si>
    <t>Zank3</t>
  </si>
  <si>
    <t>511</t>
  </si>
  <si>
    <t>Berg2</t>
  </si>
  <si>
    <t>515</t>
  </si>
  <si>
    <t>Adler4</t>
  </si>
  <si>
    <t>302</t>
  </si>
  <si>
    <t>Cranz2, Dorn2</t>
  </si>
  <si>
    <t>207</t>
  </si>
  <si>
    <t>Berg4</t>
  </si>
  <si>
    <t>517</t>
  </si>
  <si>
    <t>Cranz4, Ulm3</t>
  </si>
  <si>
    <t>518</t>
  </si>
  <si>
    <t>Eiche2</t>
  </si>
  <si>
    <t>101</t>
  </si>
  <si>
    <t>Falk2, Grube2</t>
  </si>
  <si>
    <t>104</t>
  </si>
  <si>
    <t>Dorn4</t>
  </si>
  <si>
    <t>217</t>
  </si>
  <si>
    <t>Hain2</t>
  </si>
  <si>
    <t>516</t>
  </si>
  <si>
    <t>Eiche4</t>
  </si>
  <si>
    <t>218</t>
  </si>
  <si>
    <t>Ilg2</t>
  </si>
  <si>
    <t>121</t>
  </si>
  <si>
    <t>Jost2</t>
  </si>
  <si>
    <t>zu 746</t>
  </si>
  <si>
    <t>406</t>
  </si>
  <si>
    <t>Kern2</t>
  </si>
  <si>
    <t>2002,2005,2006</t>
  </si>
  <si>
    <t>Falk4, Grube4, Hain4</t>
  </si>
  <si>
    <t>118</t>
  </si>
  <si>
    <t>Moser2</t>
  </si>
  <si>
    <t>Nussallergie</t>
  </si>
  <si>
    <t>116</t>
  </si>
  <si>
    <t>Ilg4, Jost4</t>
  </si>
  <si>
    <t>505</t>
  </si>
  <si>
    <t>Nolte2, Ohler2</t>
  </si>
  <si>
    <t>vegan</t>
  </si>
  <si>
    <t>2007</t>
  </si>
  <si>
    <t>Kern4</t>
  </si>
  <si>
    <t>506</t>
  </si>
  <si>
    <t>Pfau2</t>
  </si>
  <si>
    <t>508,509</t>
  </si>
  <si>
    <t>Lerch4</t>
  </si>
  <si>
    <t>219</t>
  </si>
  <si>
    <t>Quint2</t>
  </si>
  <si>
    <t>zu 749</t>
  </si>
  <si>
    <t>405</t>
  </si>
  <si>
    <t>Stein2</t>
  </si>
  <si>
    <t>401</t>
  </si>
  <si>
    <t>Thal2, Ulm2</t>
  </si>
  <si>
    <t>301</t>
  </si>
  <si>
    <t>Vogel2</t>
  </si>
  <si>
    <t>EXT</t>
  </si>
  <si>
    <t>Moser4</t>
  </si>
  <si>
    <t>664</t>
  </si>
  <si>
    <t>407</t>
  </si>
  <si>
    <t>Wild2, Zank2</t>
  </si>
  <si>
    <t>STAMM</t>
  </si>
  <si>
    <t>107</t>
  </si>
  <si>
    <t>Berg3, Cranz3</t>
  </si>
  <si>
    <t>Summe 700er</t>
  </si>
  <si>
    <t>120</t>
  </si>
  <si>
    <t>Dorn3</t>
  </si>
  <si>
    <t>Summe Gesamt</t>
  </si>
  <si>
    <t>113</t>
  </si>
  <si>
    <t>Eiche3</t>
  </si>
  <si>
    <t>Day Spa</t>
  </si>
  <si>
    <t>103</t>
  </si>
  <si>
    <t>Falk3</t>
  </si>
  <si>
    <t>21+22</t>
  </si>
  <si>
    <t>Nolte4</t>
  </si>
  <si>
    <t>4</t>
  </si>
  <si>
    <t>34</t>
  </si>
  <si>
    <t>Ohler4</t>
  </si>
  <si>
    <t>Summe 600er</t>
  </si>
  <si>
    <t>35</t>
  </si>
  <si>
    <t>Pfau4</t>
  </si>
  <si>
    <t>Geburtstage &amp; Grüße</t>
  </si>
  <si>
    <t>46</t>
  </si>
  <si>
    <t>Quint4</t>
  </si>
  <si>
    <t>Rabe4 A.</t>
  </si>
  <si>
    <t>Stein4</t>
  </si>
  <si>
    <t>Thal4</t>
  </si>
  <si>
    <t>Ulm4, Vogel4</t>
  </si>
  <si>
    <t>Wild4</t>
  </si>
  <si>
    <t>Zank4</t>
  </si>
  <si>
    <t>Adler5</t>
  </si>
  <si>
    <t>Änderungen</t>
  </si>
  <si>
    <t>Late Check out</t>
  </si>
  <si>
    <t>206</t>
  </si>
  <si>
    <t>Berg5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</si>
</sst>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theme="1"/>
      <family val="2"/>
      <sz val="8"/>
      <name val="Arial"/>
    </font>
    <font>
      <color theme="1"/>
      <sz val="8"/>
      <name val="Arial"/>
    </font>
    <font>
      <b/>
      <color rgb="FF000000"/>
      <family val="2"/>
      <sz val="8"/>
      <name val="Arial"/>
    </font>
    <font>
      <color rgb="FF000000"/>
      <family val="2"/>
      <sz val="8"/>
      <name val="Arial"/>
    </font>
    <font>
      <family val="2"/>
      <sz val="8"/>
      <name val="Arial"/>
    </font>
    <font>
      <color rgb="FF000000"/>
      <sz val="8"/>
      <name val="Arial"/>
    </font>
    <font>
      <b/>
      <family val="2"/>
      <sz val="8"/>
      <name val="Arial"/>
    </font>
    <font>
      <sz val="8"/>
      <name val="Arial"/>
    </font>
    <font>
      <b/>
      <color rgb="FF000000"/>
      <sz val="8"/>
      <name val="Arial"/>
    </font>
    <font>
      <color rgb="FF242424"/>
      <sz val="8"/>
      <name val="Arial"/>
    </font>
    <font>
      <b/>
      <sz val="8"/>
      <name val="Arial"/>
    </font>
    <font>
      <b/>
      <charset val="1"/>
      <color rgb="FF000000"/>
      <sz val="8"/>
      <name val="Arial"/>
    </font>
    <font>
      <b/>
      <color theme="1"/>
      <family val="2"/>
      <sz val="8"/>
      <name val="Arial"/>
    </font>
    <font>
      <color rgb="FF242424"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4" fillId="6" borderId="8" xfId="0" applyNumberFormat="1" applyFont="1" applyFill="1" applyBorder="1" applyAlignment="1">
      <alignment horizontal="center" vertical="center"/>
    </xf>
    <xf numFmtId="1" fontId="4" fillId="6" borderId="8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13" fillId="7" borderId="2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1472853</xdr:colOff>
      <xdr:row>53</xdr:row>
      <xdr:rowOff>25047</xdr:rowOff>
    </xdr:from>
    <xdr:to>
      <xdr:col>6</xdr:col>
      <xdr:colOff>1473213</xdr:colOff>
      <xdr:row>53</xdr:row>
      <xdr:rowOff>25407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1473213</xdr:colOff>
      <xdr:row>52</xdr:row>
      <xdr:rowOff>25407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54</xdr:row>
      <xdr:rowOff>25047</xdr:rowOff>
    </xdr:from>
    <xdr:to>
      <xdr:col>6</xdr:col>
      <xdr:colOff>1473213</xdr:colOff>
      <xdr:row>54</xdr:row>
      <xdr:rowOff>25407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55</xdr:row>
      <xdr:rowOff>25047</xdr:rowOff>
    </xdr:from>
    <xdr:to>
      <xdr:col>6</xdr:col>
      <xdr:colOff>1473213</xdr:colOff>
      <xdr:row>55</xdr:row>
      <xdr:rowOff>25407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1473213</xdr:colOff>
      <xdr:row>52</xdr:row>
      <xdr:rowOff>25407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13</xdr:row>
      <xdr:rowOff>25047</xdr:rowOff>
    </xdr:from>
    <xdr:to>
      <xdr:col>6</xdr:col>
      <xdr:colOff>1473213</xdr:colOff>
      <xdr:row>13</xdr:row>
      <xdr:rowOff>25407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1473213</xdr:colOff>
      <xdr:row>17</xdr:row>
      <xdr:rowOff>25407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1473213</xdr:colOff>
      <xdr:row>17</xdr:row>
      <xdr:rowOff>25407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1473213</xdr:colOff>
      <xdr:row>17</xdr:row>
      <xdr:rowOff>25407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1473213</xdr:colOff>
      <xdr:row>17</xdr:row>
      <xdr:rowOff>25407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1473213</xdr:colOff>
      <xdr:row>17</xdr:row>
      <xdr:rowOff>25407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1473213</xdr:colOff>
      <xdr:row>17</xdr:row>
      <xdr:rowOff>25407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1473213</xdr:colOff>
      <xdr:row>52</xdr:row>
      <xdr:rowOff>25407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1472853</xdr:colOff>
      <xdr:row>24</xdr:row>
      <xdr:rowOff>25047</xdr:rowOff>
    </xdr:from>
    <xdr:to>
      <xdr:col>13</xdr:col>
      <xdr:colOff>1473213</xdr:colOff>
      <xdr:row>24</xdr:row>
      <xdr:rowOff>25407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1473213</xdr:colOff>
      <xdr:row>52</xdr:row>
      <xdr:rowOff>25407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1473213</xdr:colOff>
      <xdr:row>51</xdr:row>
      <xdr:rowOff>25407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50</xdr:row>
      <xdr:rowOff>25047</xdr:rowOff>
    </xdr:from>
    <xdr:to>
      <xdr:col>6</xdr:col>
      <xdr:colOff>1473213</xdr:colOff>
      <xdr:row>50</xdr:row>
      <xdr:rowOff>25407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0</xdr:row>
      <xdr:rowOff>0</xdr:rowOff>
    </xdr:from>
    <xdr:to>
      <xdr:col>5</xdr:col>
      <xdr:colOff>1473213</xdr:colOff>
      <xdr:row>0</xdr:row>
      <xdr:rowOff>360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9</xdr:row>
      <xdr:rowOff>25047</xdr:rowOff>
    </xdr:from>
    <xdr:to>
      <xdr:col>5</xdr:col>
      <xdr:colOff>1473213</xdr:colOff>
      <xdr:row>9</xdr:row>
      <xdr:rowOff>25407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34</xdr:row>
      <xdr:rowOff>25047</xdr:rowOff>
    </xdr:from>
    <xdr:to>
      <xdr:col>5</xdr:col>
      <xdr:colOff>1473213</xdr:colOff>
      <xdr:row>34</xdr:row>
      <xdr:rowOff>25407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34</xdr:row>
      <xdr:rowOff>25047</xdr:rowOff>
    </xdr:from>
    <xdr:to>
      <xdr:col>5</xdr:col>
      <xdr:colOff>1473213</xdr:colOff>
      <xdr:row>34</xdr:row>
      <xdr:rowOff>25407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34</xdr:row>
      <xdr:rowOff>25047</xdr:rowOff>
    </xdr:from>
    <xdr:to>
      <xdr:col>5</xdr:col>
      <xdr:colOff>1473213</xdr:colOff>
      <xdr:row>34</xdr:row>
      <xdr:rowOff>25407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34</xdr:row>
      <xdr:rowOff>25047</xdr:rowOff>
    </xdr:from>
    <xdr:to>
      <xdr:col>5</xdr:col>
      <xdr:colOff>1473213</xdr:colOff>
      <xdr:row>34</xdr:row>
      <xdr:rowOff>25407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34</xdr:row>
      <xdr:rowOff>25047</xdr:rowOff>
    </xdr:from>
    <xdr:to>
      <xdr:col>5</xdr:col>
      <xdr:colOff>1473213</xdr:colOff>
      <xdr:row>34</xdr:row>
      <xdr:rowOff>25407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34</xdr:row>
      <xdr:rowOff>25047</xdr:rowOff>
    </xdr:from>
    <xdr:to>
      <xdr:col>5</xdr:col>
      <xdr:colOff>1473213</xdr:colOff>
      <xdr:row>34</xdr:row>
      <xdr:rowOff>25407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1472853</xdr:colOff>
      <xdr:row>32</xdr:row>
      <xdr:rowOff>25047</xdr:rowOff>
    </xdr:from>
    <xdr:to>
      <xdr:col>5</xdr:col>
      <xdr:colOff>1473213</xdr:colOff>
      <xdr:row>32</xdr:row>
      <xdr:rowOff>25407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72"/>
  <sheetViews>
    <sheetView workbookViewId="0" zoomScale="100" zoomScaleNormal="100">
      <selection activeCell="G66" sqref="G66"/>
    </sheetView>
  </sheetViews>
  <sheetFormatPr defaultRowHeight="11.25" outlineLevelRow="0" outlineLevelCol="0" x14ac:dyDescent="0.25" defaultColWidth="9.140625" customHeight="1"/>
  <cols>
    <col min="1" max="1" width="3.42578125" style="1" customWidth="1"/>
    <col min="2" max="2" width="6.7109375" style="2" customWidth="1"/>
    <col min="3" max="3" width="14.28515625" style="2" customWidth="1"/>
    <col min="4" max="4" width="5.7109375" style="2" customWidth="1"/>
    <col min="5" max="5" width="24.7109375" style="2" customWidth="1"/>
    <col min="6" max="6" width="4.7109375" style="2" customWidth="1"/>
    <col min="7" max="7" width="70.7109375" style="2" customWidth="1"/>
    <col min="8" max="8" width="3.42578125" style="1" customWidth="1"/>
    <col min="9" max="9" width="6.7109375" style="2" customWidth="1"/>
    <col min="10" max="10" width="14.28515625" style="3" customWidth="1"/>
    <col min="11" max="11" width="5.7109375" style="3" customWidth="1"/>
    <col min="12" max="12" width="24.7109375" style="2" customWidth="1"/>
    <col min="13" max="13" width="5.28515625" style="2" customWidth="1"/>
    <col min="14" max="14" width="70.7109375" style="2" customWidth="1"/>
    <col min="15" max="15" width="3.42578125" style="4" customWidth="1"/>
    <col min="16" max="16384" width="9.140625" style="2" customWidth="1"/>
  </cols>
  <sheetData>
    <row r="1" ht="11.25" customHeight="1" spans="2:14" x14ac:dyDescent="0.25">
      <c r="B1" s="5" t="s">
        <v>0</v>
      </c>
      <c r="C1" s="6">
        <f>NOW()-TODAY()</f>
        <v>0.37533067129697884</v>
      </c>
      <c r="D1" s="6"/>
      <c r="E1" s="5" t="s">
        <v>1</v>
      </c>
      <c r="F1" s="5"/>
      <c r="G1" s="5" t="s">
        <v>2</v>
      </c>
      <c r="H1" s="7"/>
      <c r="I1" s="8" t="s">
        <v>0</v>
      </c>
      <c r="J1" s="9">
        <f>NOW()-TODAY()</f>
        <v>0.37533067129697884</v>
      </c>
      <c r="K1" s="9"/>
      <c r="L1" s="5" t="s">
        <v>1</v>
      </c>
      <c r="M1" s="8"/>
      <c r="N1" s="8" t="s">
        <v>3</v>
      </c>
    </row>
    <row r="2" ht="11.25" customHeight="1" spans="2:14" x14ac:dyDescent="0.25">
      <c r="B2" s="10"/>
      <c r="C2" s="10" t="s">
        <v>4</v>
      </c>
      <c r="D2" s="10"/>
      <c r="E2" s="10" t="s">
        <v>4</v>
      </c>
      <c r="F2" s="10" t="s">
        <v>4</v>
      </c>
      <c r="G2" s="10" t="s">
        <v>4</v>
      </c>
      <c r="H2" s="11"/>
      <c r="I2" s="12" t="s">
        <v>4</v>
      </c>
      <c r="J2" s="13" t="s">
        <v>4</v>
      </c>
      <c r="K2" s="13"/>
      <c r="L2" s="12" t="s">
        <v>4</v>
      </c>
      <c r="M2" s="12" t="s">
        <v>4</v>
      </c>
      <c r="N2" s="12" t="s">
        <v>4</v>
      </c>
    </row>
    <row r="3" ht="11.25" customHeight="1" spans="2:14" x14ac:dyDescent="0.25">
      <c r="B3" s="14" t="s">
        <v>5</v>
      </c>
      <c r="C3" s="14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6"/>
      <c r="I3" s="17" t="s">
        <v>5</v>
      </c>
      <c r="J3" s="17" t="s">
        <v>6</v>
      </c>
      <c r="K3" s="18" t="s">
        <v>7</v>
      </c>
      <c r="L3" s="18" t="s">
        <v>8</v>
      </c>
      <c r="M3" s="18" t="s">
        <v>9</v>
      </c>
      <c r="N3" s="18" t="s">
        <v>10</v>
      </c>
    </row>
    <row r="4" ht="11.25" customHeight="1" spans="2:14" x14ac:dyDescent="0.25">
      <c r="B4" s="19" t="s">
        <v>4</v>
      </c>
      <c r="C4" s="19"/>
      <c r="D4" s="19"/>
      <c r="E4" s="19"/>
      <c r="F4" s="19"/>
      <c r="G4" s="19"/>
      <c r="H4" s="20"/>
      <c r="I4" s="21" t="s">
        <v>4</v>
      </c>
      <c r="J4" s="21"/>
      <c r="K4" s="21"/>
      <c r="L4" s="21"/>
      <c r="M4" s="21"/>
      <c r="N4" s="21"/>
    </row>
    <row r="5" ht="11.25" customHeight="1" spans="2:14" x14ac:dyDescent="0.25">
      <c r="B5" s="22">
        <v>611</v>
      </c>
      <c r="C5" s="23" t="s">
        <v>11</v>
      </c>
      <c r="D5" s="23"/>
      <c r="E5" s="23" t="s">
        <v>12</v>
      </c>
      <c r="F5" s="24">
        <v>2</v>
      </c>
      <c r="G5" s="15" t="s">
        <v>13</v>
      </c>
      <c r="H5" s="20"/>
      <c r="I5" s="25">
        <v>711</v>
      </c>
      <c r="J5" s="23" t="s">
        <v>14</v>
      </c>
      <c r="K5" s="23" t="s">
        <v>15</v>
      </c>
      <c r="L5" s="23" t="s">
        <v>16</v>
      </c>
      <c r="M5" s="24">
        <v>2</v>
      </c>
      <c r="N5" s="26"/>
    </row>
    <row r="6" ht="11.25" customHeight="1" spans="2:14" x14ac:dyDescent="0.25">
      <c r="B6" s="22">
        <v>612</v>
      </c>
      <c r="C6" s="27" t="s">
        <v>17</v>
      </c>
      <c r="D6" s="27" t="s">
        <v>15</v>
      </c>
      <c r="E6" s="27" t="s">
        <v>18</v>
      </c>
      <c r="F6" s="27" t="s">
        <v>19</v>
      </c>
      <c r="G6" s="28"/>
      <c r="H6" s="20"/>
      <c r="I6" s="25">
        <v>712</v>
      </c>
      <c r="J6" s="27" t="s">
        <v>20</v>
      </c>
      <c r="K6" s="27"/>
      <c r="L6" s="27" t="s">
        <v>21</v>
      </c>
      <c r="M6" s="29"/>
      <c r="N6" s="30"/>
    </row>
    <row r="7" ht="11.25" customHeight="1" spans="2:14" x14ac:dyDescent="0.25">
      <c r="B7" s="22">
        <v>613</v>
      </c>
      <c r="C7" s="27" t="s">
        <v>22</v>
      </c>
      <c r="D7" s="27"/>
      <c r="E7" s="27" t="s">
        <v>23</v>
      </c>
      <c r="F7" s="29">
        <v>2</v>
      </c>
      <c r="G7" s="31"/>
      <c r="H7" s="20"/>
      <c r="I7" s="25">
        <v>713</v>
      </c>
      <c r="J7" s="27" t="s">
        <v>24</v>
      </c>
      <c r="K7" s="27"/>
      <c r="L7" s="32" t="s">
        <v>25</v>
      </c>
      <c r="M7" s="29">
        <v>2</v>
      </c>
      <c r="N7" s="27"/>
    </row>
    <row r="8" ht="11.25" customHeight="1" spans="2:14" x14ac:dyDescent="0.25">
      <c r="B8" s="22">
        <v>614</v>
      </c>
      <c r="C8" s="23" t="s">
        <v>26</v>
      </c>
      <c r="D8" s="23" t="s">
        <v>15</v>
      </c>
      <c r="E8" s="23" t="s">
        <v>27</v>
      </c>
      <c r="F8" s="24">
        <v>2</v>
      </c>
      <c r="G8" s="31"/>
      <c r="H8" s="20"/>
      <c r="I8" s="25" t="s">
        <v>28</v>
      </c>
      <c r="J8" s="27" t="s">
        <v>29</v>
      </c>
      <c r="K8" s="27" t="s">
        <v>15</v>
      </c>
      <c r="L8" s="27" t="s">
        <v>30</v>
      </c>
      <c r="M8" s="29">
        <v>2</v>
      </c>
      <c r="N8" s="27"/>
    </row>
    <row r="9" ht="11.25" customHeight="1" spans="2:14" x14ac:dyDescent="0.25">
      <c r="B9" s="33">
        <v>615</v>
      </c>
      <c r="C9" s="23" t="s">
        <v>31</v>
      </c>
      <c r="D9" s="23" t="s">
        <v>15</v>
      </c>
      <c r="E9" s="23" t="s">
        <v>32</v>
      </c>
      <c r="F9" s="24">
        <v>2</v>
      </c>
      <c r="G9" s="34"/>
      <c r="H9" s="20"/>
      <c r="I9" s="25">
        <v>715</v>
      </c>
      <c r="J9" s="27" t="s">
        <v>33</v>
      </c>
      <c r="K9" s="27"/>
      <c r="L9" s="32" t="s">
        <v>34</v>
      </c>
      <c r="M9" s="29">
        <v>2</v>
      </c>
      <c r="N9" s="30"/>
    </row>
    <row r="10" ht="11.25" customHeight="1" spans="2:14" x14ac:dyDescent="0.25">
      <c r="B10" s="33">
        <v>616</v>
      </c>
      <c r="C10" s="23" t="s">
        <v>35</v>
      </c>
      <c r="D10" s="23" t="s">
        <v>36</v>
      </c>
      <c r="E10" s="23" t="s">
        <v>37</v>
      </c>
      <c r="F10" s="24">
        <v>2</v>
      </c>
      <c r="G10" s="23"/>
      <c r="H10" s="20"/>
      <c r="I10" s="25">
        <v>716</v>
      </c>
      <c r="J10" s="27" t="s">
        <v>38</v>
      </c>
      <c r="K10" s="27"/>
      <c r="L10" s="32" t="s">
        <v>39</v>
      </c>
      <c r="M10" s="29">
        <v>2</v>
      </c>
      <c r="N10" s="28"/>
    </row>
    <row r="11" ht="11.25" customHeight="1" spans="2:14" x14ac:dyDescent="0.25">
      <c r="B11" s="33">
        <v>617</v>
      </c>
      <c r="C11" s="23" t="s">
        <v>40</v>
      </c>
      <c r="D11" s="23" t="s">
        <v>15</v>
      </c>
      <c r="E11" s="23" t="s">
        <v>41</v>
      </c>
      <c r="F11" s="24">
        <v>2</v>
      </c>
      <c r="G11" s="34"/>
      <c r="H11" s="35"/>
      <c r="I11" s="25">
        <v>717</v>
      </c>
      <c r="J11" s="27" t="s">
        <v>42</v>
      </c>
      <c r="K11" s="27"/>
      <c r="L11" s="27" t="s">
        <v>43</v>
      </c>
      <c r="M11" s="27" t="s">
        <v>19</v>
      </c>
      <c r="N11" s="27"/>
    </row>
    <row r="12" ht="11.25" customHeight="1" spans="2:15" x14ac:dyDescent="0.25">
      <c r="B12" s="19"/>
      <c r="C12" s="19"/>
      <c r="D12" s="19"/>
      <c r="E12" s="19"/>
      <c r="F12" s="36"/>
      <c r="G12" s="19"/>
      <c r="H12" s="20"/>
      <c r="I12" s="25">
        <v>718</v>
      </c>
      <c r="J12" s="27" t="s">
        <v>44</v>
      </c>
      <c r="K12" s="27" t="s">
        <v>36</v>
      </c>
      <c r="L12" s="27" t="s">
        <v>45</v>
      </c>
      <c r="M12" s="29">
        <v>2</v>
      </c>
      <c r="N12" s="28"/>
      <c r="O12" s="37"/>
    </row>
    <row r="13" ht="11.25" customHeight="1" spans="2:14" x14ac:dyDescent="0.25">
      <c r="B13" s="22">
        <v>621</v>
      </c>
      <c r="C13" s="38" t="s">
        <v>46</v>
      </c>
      <c r="D13" s="38"/>
      <c r="E13" s="38" t="s">
        <v>47</v>
      </c>
      <c r="F13" s="39">
        <v>3</v>
      </c>
      <c r="G13" s="40"/>
      <c r="H13" s="20"/>
      <c r="I13" s="41"/>
      <c r="J13" s="41"/>
      <c r="K13" s="41"/>
      <c r="L13" s="41"/>
      <c r="M13" s="42"/>
      <c r="N13" s="41"/>
    </row>
    <row r="14" ht="11.25" customHeight="1" spans="2:14" x14ac:dyDescent="0.25">
      <c r="B14" s="43" t="s">
        <v>48</v>
      </c>
      <c r="C14" s="23" t="s">
        <v>49</v>
      </c>
      <c r="D14" s="23"/>
      <c r="E14" s="23" t="s">
        <v>50</v>
      </c>
      <c r="F14" s="24">
        <v>2</v>
      </c>
      <c r="G14" s="23"/>
      <c r="H14" s="20"/>
      <c r="I14" s="44">
        <v>721</v>
      </c>
      <c r="J14" s="23" t="s">
        <v>51</v>
      </c>
      <c r="K14" s="23" t="s">
        <v>15</v>
      </c>
      <c r="L14" s="23" t="s">
        <v>52</v>
      </c>
      <c r="M14" s="24">
        <v>2</v>
      </c>
      <c r="N14" s="34" t="s">
        <v>53</v>
      </c>
    </row>
    <row r="15" ht="11.25" customHeight="1" spans="2:14" x14ac:dyDescent="0.25">
      <c r="B15" s="22">
        <v>623</v>
      </c>
      <c r="C15" s="27" t="s">
        <v>54</v>
      </c>
      <c r="D15" s="27"/>
      <c r="E15" s="27" t="s">
        <v>55</v>
      </c>
      <c r="F15" s="27" t="s">
        <v>56</v>
      </c>
      <c r="G15" s="40"/>
      <c r="H15" s="20"/>
      <c r="I15" s="25">
        <v>722</v>
      </c>
      <c r="J15" s="27" t="s">
        <v>57</v>
      </c>
      <c r="K15" s="27"/>
      <c r="L15" s="27" t="s">
        <v>58</v>
      </c>
      <c r="M15" s="29">
        <v>2</v>
      </c>
      <c r="N15" s="30"/>
    </row>
    <row r="16" ht="11.25" customHeight="1" spans="2:14" x14ac:dyDescent="0.25">
      <c r="B16" s="22">
        <v>624</v>
      </c>
      <c r="C16" s="23" t="s">
        <v>59</v>
      </c>
      <c r="D16" s="23"/>
      <c r="E16" s="23" t="s">
        <v>60</v>
      </c>
      <c r="F16" s="24">
        <v>2</v>
      </c>
      <c r="G16" s="15" t="s">
        <v>13</v>
      </c>
      <c r="H16" s="20"/>
      <c r="I16" s="25">
        <v>723</v>
      </c>
      <c r="J16" s="27" t="s">
        <v>61</v>
      </c>
      <c r="K16" s="27"/>
      <c r="L16" s="27" t="s">
        <v>62</v>
      </c>
      <c r="M16" s="29">
        <v>2</v>
      </c>
      <c r="N16" s="27"/>
    </row>
    <row r="17" ht="11.25" customHeight="1" spans="2:15" x14ac:dyDescent="0.25">
      <c r="B17" s="22">
        <v>625</v>
      </c>
      <c r="C17" s="23" t="s">
        <v>63</v>
      </c>
      <c r="D17" s="23"/>
      <c r="E17" s="23" t="s">
        <v>64</v>
      </c>
      <c r="F17" s="24">
        <v>2</v>
      </c>
      <c r="G17" s="31"/>
      <c r="H17" s="20"/>
      <c r="I17" s="25">
        <v>724</v>
      </c>
      <c r="J17" s="27" t="s">
        <v>65</v>
      </c>
      <c r="K17" s="27"/>
      <c r="L17" s="27" t="s">
        <v>66</v>
      </c>
      <c r="M17" s="29">
        <v>2</v>
      </c>
      <c r="N17" s="27"/>
      <c r="O17" s="37"/>
    </row>
    <row r="18" ht="11.25" customHeight="1" spans="2:14" x14ac:dyDescent="0.25">
      <c r="B18" s="22">
        <v>626</v>
      </c>
      <c r="C18" s="23" t="s">
        <v>67</v>
      </c>
      <c r="D18" s="23"/>
      <c r="E18" s="23" t="s">
        <v>68</v>
      </c>
      <c r="F18" s="24">
        <v>2</v>
      </c>
      <c r="G18" s="23"/>
      <c r="H18" s="20"/>
      <c r="I18" s="25">
        <v>725</v>
      </c>
      <c r="J18" s="23" t="s">
        <v>69</v>
      </c>
      <c r="K18" s="23"/>
      <c r="L18" s="23" t="s">
        <v>70</v>
      </c>
      <c r="M18" s="24">
        <v>0</v>
      </c>
      <c r="N18" s="31" t="s">
        <v>71</v>
      </c>
    </row>
    <row r="19" ht="11.25" customHeight="1" spans="2:14" x14ac:dyDescent="0.25">
      <c r="B19" s="19" t="s">
        <v>4</v>
      </c>
      <c r="C19" s="19"/>
      <c r="D19" s="19"/>
      <c r="E19" s="19"/>
      <c r="F19" s="36"/>
      <c r="G19" s="19"/>
      <c r="H19" s="35"/>
      <c r="I19" s="25" t="s">
        <v>72</v>
      </c>
      <c r="J19" s="27" t="s">
        <v>73</v>
      </c>
      <c r="K19" s="27"/>
      <c r="L19" s="27" t="s">
        <v>74</v>
      </c>
      <c r="M19" s="29">
        <v>4</v>
      </c>
      <c r="N19" s="27"/>
    </row>
    <row r="20" ht="11.25" customHeight="1" spans="2:14" x14ac:dyDescent="0.25">
      <c r="B20" s="22">
        <v>631</v>
      </c>
      <c r="C20" s="23" t="s">
        <v>75</v>
      </c>
      <c r="D20" s="23" t="s">
        <v>15</v>
      </c>
      <c r="E20" s="23" t="s">
        <v>76</v>
      </c>
      <c r="F20" s="24">
        <v>2</v>
      </c>
      <c r="G20" s="26"/>
      <c r="H20" s="20"/>
      <c r="I20" s="25" t="s">
        <v>77</v>
      </c>
      <c r="J20" s="27" t="s">
        <v>78</v>
      </c>
      <c r="K20" s="27" t="s">
        <v>36</v>
      </c>
      <c r="L20" s="27" t="s">
        <v>79</v>
      </c>
      <c r="M20" s="27" t="s">
        <v>19</v>
      </c>
      <c r="N20" s="27" t="s">
        <v>80</v>
      </c>
    </row>
    <row r="21" ht="11.25" customHeight="1" spans="2:14" x14ac:dyDescent="0.25">
      <c r="B21" s="22" t="s">
        <v>81</v>
      </c>
      <c r="C21" s="23" t="s">
        <v>82</v>
      </c>
      <c r="D21" s="23" t="s">
        <v>36</v>
      </c>
      <c r="E21" s="23" t="s">
        <v>83</v>
      </c>
      <c r="F21" s="24">
        <v>2</v>
      </c>
      <c r="G21" s="34"/>
      <c r="H21" s="20"/>
      <c r="I21" s="25">
        <v>728</v>
      </c>
      <c r="J21" s="27" t="s">
        <v>84</v>
      </c>
      <c r="K21" s="27" t="s">
        <v>15</v>
      </c>
      <c r="L21" s="27" t="s">
        <v>85</v>
      </c>
      <c r="M21" s="29">
        <v>2</v>
      </c>
      <c r="N21" s="28"/>
    </row>
    <row r="22" ht="11.25" customHeight="1" spans="2:14" x14ac:dyDescent="0.25">
      <c r="B22" s="22" t="s">
        <v>86</v>
      </c>
      <c r="C22" s="23" t="s">
        <v>87</v>
      </c>
      <c r="D22" s="23"/>
      <c r="E22" s="23" t="s">
        <v>88</v>
      </c>
      <c r="F22" s="24">
        <v>3</v>
      </c>
      <c r="G22" s="23"/>
      <c r="H22" s="20"/>
      <c r="I22" s="25">
        <v>729</v>
      </c>
      <c r="J22" s="27" t="s">
        <v>89</v>
      </c>
      <c r="K22" s="27"/>
      <c r="L22" s="27" t="s">
        <v>90</v>
      </c>
      <c r="M22" s="29">
        <v>2</v>
      </c>
      <c r="N22" s="27"/>
    </row>
    <row r="23" ht="11.25" customHeight="1" spans="2:14" x14ac:dyDescent="0.25">
      <c r="B23" s="22">
        <v>634</v>
      </c>
      <c r="C23" s="23" t="s">
        <v>91</v>
      </c>
      <c r="D23" s="23" t="s">
        <v>36</v>
      </c>
      <c r="E23" s="23" t="s">
        <v>90</v>
      </c>
      <c r="F23" s="24">
        <v>2</v>
      </c>
      <c r="G23" s="26"/>
      <c r="H23" s="20"/>
      <c r="I23" s="25">
        <v>730</v>
      </c>
      <c r="J23" s="27" t="s">
        <v>92</v>
      </c>
      <c r="K23" s="27"/>
      <c r="L23" s="27" t="s">
        <v>93</v>
      </c>
      <c r="M23" s="29"/>
      <c r="N23" s="31"/>
    </row>
    <row r="24" ht="11.25" customHeight="1" spans="2:14" x14ac:dyDescent="0.25">
      <c r="B24" s="22">
        <v>635</v>
      </c>
      <c r="C24" s="23" t="s">
        <v>94</v>
      </c>
      <c r="D24" s="23" t="s">
        <v>36</v>
      </c>
      <c r="E24" s="23" t="s">
        <v>95</v>
      </c>
      <c r="F24" s="24">
        <v>2</v>
      </c>
      <c r="G24" s="31"/>
      <c r="H24" s="20"/>
      <c r="I24" s="25">
        <v>731</v>
      </c>
      <c r="J24" s="27" t="s">
        <v>96</v>
      </c>
      <c r="K24" s="27"/>
      <c r="L24" s="27" t="s">
        <v>97</v>
      </c>
      <c r="M24" s="29">
        <v>2</v>
      </c>
      <c r="N24" s="30"/>
    </row>
    <row r="25" ht="11.25" customHeight="1" spans="2:14" x14ac:dyDescent="0.25">
      <c r="B25" s="22">
        <v>636</v>
      </c>
      <c r="C25" s="23" t="s">
        <v>98</v>
      </c>
      <c r="D25" s="23"/>
      <c r="E25" s="23" t="s">
        <v>99</v>
      </c>
      <c r="F25" s="24">
        <v>2</v>
      </c>
      <c r="G25" s="23" t="s">
        <v>53</v>
      </c>
      <c r="H25" s="20"/>
      <c r="I25" s="25">
        <v>732</v>
      </c>
      <c r="J25" s="23" t="s">
        <v>100</v>
      </c>
      <c r="K25" s="23"/>
      <c r="L25" s="23" t="s">
        <v>101</v>
      </c>
      <c r="M25" s="24">
        <v>2</v>
      </c>
      <c r="N25" s="31" t="s">
        <v>53</v>
      </c>
    </row>
    <row r="26" ht="11.25" customHeight="1" spans="2:14" x14ac:dyDescent="0.25">
      <c r="B26" s="19" t="s">
        <v>4</v>
      </c>
      <c r="C26" s="19"/>
      <c r="D26" s="19"/>
      <c r="E26" s="45"/>
      <c r="F26" s="36"/>
      <c r="G26" s="19"/>
      <c r="H26" s="20"/>
      <c r="I26" s="25">
        <v>733</v>
      </c>
      <c r="J26" s="27" t="s">
        <v>102</v>
      </c>
      <c r="K26" s="23" t="s">
        <v>15</v>
      </c>
      <c r="L26" s="27" t="s">
        <v>103</v>
      </c>
      <c r="M26" s="27" t="s">
        <v>19</v>
      </c>
      <c r="N26" s="28"/>
    </row>
    <row r="27" ht="11.25" customHeight="1" spans="2:14" x14ac:dyDescent="0.25">
      <c r="B27" s="22">
        <v>641</v>
      </c>
      <c r="C27" s="23" t="s">
        <v>104</v>
      </c>
      <c r="D27" s="23"/>
      <c r="E27" s="23" t="s">
        <v>105</v>
      </c>
      <c r="F27" s="24">
        <v>2</v>
      </c>
      <c r="G27" s="23"/>
      <c r="H27" s="20"/>
      <c r="I27" s="21" t="s">
        <v>4</v>
      </c>
      <c r="J27" s="46"/>
      <c r="K27" s="46"/>
      <c r="L27" s="46"/>
      <c r="M27" s="47"/>
      <c r="N27" s="46"/>
    </row>
    <row r="28" ht="11.25" customHeight="1" spans="2:14" x14ac:dyDescent="0.25">
      <c r="B28" s="22">
        <v>642</v>
      </c>
      <c r="C28" s="23" t="s">
        <v>106</v>
      </c>
      <c r="D28" s="23"/>
      <c r="E28" s="23" t="s">
        <v>107</v>
      </c>
      <c r="F28" s="24">
        <v>2</v>
      </c>
      <c r="G28" s="48"/>
      <c r="H28" s="20"/>
      <c r="I28" s="25">
        <v>741</v>
      </c>
      <c r="J28" s="27" t="s">
        <v>108</v>
      </c>
      <c r="K28" s="27" t="s">
        <v>36</v>
      </c>
      <c r="L28" s="27" t="s">
        <v>109</v>
      </c>
      <c r="M28" s="27" t="s">
        <v>19</v>
      </c>
      <c r="N28" s="27"/>
    </row>
    <row r="29" ht="11.25" customHeight="1" spans="2:14" x14ac:dyDescent="0.25">
      <c r="B29" s="22">
        <v>643</v>
      </c>
      <c r="C29" s="23" t="s">
        <v>110</v>
      </c>
      <c r="D29" s="23"/>
      <c r="E29" s="23" t="s">
        <v>111</v>
      </c>
      <c r="F29" s="24">
        <v>2</v>
      </c>
      <c r="G29" s="26"/>
      <c r="H29" s="20"/>
      <c r="I29" s="25">
        <v>742</v>
      </c>
      <c r="J29" s="38" t="s">
        <v>112</v>
      </c>
      <c r="K29" s="38"/>
      <c r="L29" s="38" t="s">
        <v>113</v>
      </c>
      <c r="M29" s="39">
        <v>3</v>
      </c>
      <c r="N29" s="40" t="s">
        <v>71</v>
      </c>
    </row>
    <row r="30" ht="11.25" customHeight="1" spans="2:15" x14ac:dyDescent="0.25">
      <c r="B30" s="22">
        <v>644</v>
      </c>
      <c r="C30" s="27" t="s">
        <v>114</v>
      </c>
      <c r="D30" s="27"/>
      <c r="E30" s="27" t="s">
        <v>115</v>
      </c>
      <c r="F30" s="29">
        <v>2</v>
      </c>
      <c r="G30" s="28"/>
      <c r="H30" s="20"/>
      <c r="I30" s="25">
        <v>743</v>
      </c>
      <c r="J30" s="23" t="s">
        <v>69</v>
      </c>
      <c r="K30" s="23"/>
      <c r="L30" s="23" t="s">
        <v>70</v>
      </c>
      <c r="M30" s="24">
        <v>3</v>
      </c>
      <c r="N30" s="31"/>
      <c r="O30" s="49"/>
    </row>
    <row r="31" ht="11.25" customHeight="1" spans="2:14" x14ac:dyDescent="0.25">
      <c r="B31" s="22">
        <v>645</v>
      </c>
      <c r="C31" s="27" t="s">
        <v>116</v>
      </c>
      <c r="D31" s="27"/>
      <c r="E31" s="27" t="s">
        <v>117</v>
      </c>
      <c r="F31" s="29">
        <v>2</v>
      </c>
      <c r="G31" s="27"/>
      <c r="H31" s="20"/>
      <c r="I31" s="25">
        <v>744</v>
      </c>
      <c r="J31" s="27"/>
      <c r="K31" s="27"/>
      <c r="L31" s="27" t="s">
        <v>118</v>
      </c>
      <c r="M31" s="29"/>
      <c r="N31" s="27"/>
    </row>
    <row r="32" ht="11.25" customHeight="1" spans="2:14" x14ac:dyDescent="0.25">
      <c r="B32" s="22">
        <v>646</v>
      </c>
      <c r="C32" s="23" t="s">
        <v>119</v>
      </c>
      <c r="D32" s="23"/>
      <c r="E32" s="23" t="s">
        <v>120</v>
      </c>
      <c r="F32" s="24">
        <v>2</v>
      </c>
      <c r="G32" s="26"/>
      <c r="H32" s="20"/>
      <c r="I32" s="25">
        <v>745</v>
      </c>
      <c r="J32" s="27"/>
      <c r="K32" s="27"/>
      <c r="L32" s="27" t="s">
        <v>118</v>
      </c>
      <c r="M32" s="29"/>
      <c r="N32" s="28"/>
    </row>
    <row r="33" ht="11.25" customHeight="1" spans="2:14" x14ac:dyDescent="0.25">
      <c r="B33" s="19" t="s">
        <v>4</v>
      </c>
      <c r="C33" s="19"/>
      <c r="D33" s="19"/>
      <c r="E33" s="19"/>
      <c r="F33" s="36"/>
      <c r="G33" s="19"/>
      <c r="H33" s="20"/>
      <c r="I33" s="25">
        <v>746</v>
      </c>
      <c r="J33" s="27" t="s">
        <v>121</v>
      </c>
      <c r="K33" s="27"/>
      <c r="L33" s="27" t="s">
        <v>122</v>
      </c>
      <c r="M33" s="29">
        <v>7</v>
      </c>
      <c r="N33" s="50"/>
    </row>
    <row r="34" ht="11.25" customHeight="1" spans="2:14" x14ac:dyDescent="0.25">
      <c r="B34" s="22">
        <v>651</v>
      </c>
      <c r="C34" s="23" t="s">
        <v>123</v>
      </c>
      <c r="D34" s="23"/>
      <c r="E34" s="23" t="s">
        <v>124</v>
      </c>
      <c r="F34" s="24">
        <v>2</v>
      </c>
      <c r="G34" s="51" t="s">
        <v>125</v>
      </c>
      <c r="H34" s="20"/>
      <c r="I34" s="25">
        <v>747</v>
      </c>
      <c r="J34" s="27" t="s">
        <v>126</v>
      </c>
      <c r="K34" s="27" t="s">
        <v>36</v>
      </c>
      <c r="L34" s="27" t="s">
        <v>127</v>
      </c>
      <c r="M34" s="29">
        <v>2</v>
      </c>
      <c r="N34" s="27"/>
    </row>
    <row r="35" ht="11.25" customHeight="1" spans="2:14" x14ac:dyDescent="0.25">
      <c r="B35" s="22">
        <v>652</v>
      </c>
      <c r="C35" s="23" t="s">
        <v>128</v>
      </c>
      <c r="D35" s="23" t="s">
        <v>15</v>
      </c>
      <c r="E35" s="23" t="s">
        <v>129</v>
      </c>
      <c r="F35" s="24">
        <v>2</v>
      </c>
      <c r="G35" s="34" t="s">
        <v>130</v>
      </c>
      <c r="H35" s="20"/>
      <c r="I35" s="25">
        <v>748</v>
      </c>
      <c r="J35" s="27" t="s">
        <v>131</v>
      </c>
      <c r="K35" s="27" t="s">
        <v>36</v>
      </c>
      <c r="L35" s="27" t="s">
        <v>132</v>
      </c>
      <c r="M35" s="29">
        <v>2</v>
      </c>
      <c r="N35" s="27"/>
    </row>
    <row r="36" ht="11.25" customHeight="1" spans="2:14" x14ac:dyDescent="0.25">
      <c r="B36" s="22">
        <v>653</v>
      </c>
      <c r="C36" s="23" t="s">
        <v>133</v>
      </c>
      <c r="D36" s="23" t="s">
        <v>36</v>
      </c>
      <c r="E36" s="23" t="s">
        <v>134</v>
      </c>
      <c r="F36" s="24">
        <v>2</v>
      </c>
      <c r="G36" s="23"/>
      <c r="H36" s="20"/>
      <c r="I36" s="25">
        <v>749</v>
      </c>
      <c r="J36" s="23" t="s">
        <v>135</v>
      </c>
      <c r="K36" s="27" t="s">
        <v>15</v>
      </c>
      <c r="L36" s="23" t="s">
        <v>136</v>
      </c>
      <c r="M36" s="24">
        <v>6</v>
      </c>
      <c r="N36" s="27" t="s">
        <v>53</v>
      </c>
    </row>
    <row r="37" ht="11.25" customHeight="1" spans="2:14" x14ac:dyDescent="0.25">
      <c r="B37" s="22">
        <v>654</v>
      </c>
      <c r="C37" s="23" t="s">
        <v>137</v>
      </c>
      <c r="D37" s="23"/>
      <c r="E37" s="23" t="s">
        <v>138</v>
      </c>
      <c r="F37" s="24">
        <v>2</v>
      </c>
      <c r="G37" s="23"/>
      <c r="H37" s="20"/>
      <c r="I37" s="25">
        <v>750</v>
      </c>
      <c r="J37" s="27"/>
      <c r="K37" s="27"/>
      <c r="L37" s="27" t="s">
        <v>139</v>
      </c>
      <c r="M37" s="29"/>
      <c r="N37" s="27"/>
    </row>
    <row r="38" ht="11.25" customHeight="1" spans="2:14" x14ac:dyDescent="0.25">
      <c r="B38" s="19" t="s">
        <v>4</v>
      </c>
      <c r="C38" s="19"/>
      <c r="D38" s="19"/>
      <c r="E38" s="19"/>
      <c r="F38" s="36"/>
      <c r="G38" s="52"/>
      <c r="H38" s="20"/>
      <c r="I38" s="46" t="s">
        <v>4</v>
      </c>
      <c r="J38" s="46"/>
      <c r="K38" s="46"/>
      <c r="L38" s="46"/>
      <c r="M38" s="47"/>
      <c r="N38" s="46"/>
    </row>
    <row r="39" ht="11.25" customHeight="1" spans="2:14" x14ac:dyDescent="0.25">
      <c r="B39" s="22">
        <v>661</v>
      </c>
      <c r="C39" s="23" t="s">
        <v>140</v>
      </c>
      <c r="D39" s="23" t="s">
        <v>15</v>
      </c>
      <c r="E39" s="23" t="s">
        <v>141</v>
      </c>
      <c r="F39" s="24">
        <v>2</v>
      </c>
      <c r="G39" s="31"/>
      <c r="H39" s="20"/>
      <c r="I39" s="25">
        <v>801</v>
      </c>
      <c r="J39" s="27"/>
      <c r="K39" s="27"/>
      <c r="L39" s="27"/>
      <c r="M39" s="27"/>
      <c r="N39" s="27"/>
    </row>
    <row r="40" ht="11.25" customHeight="1" spans="2:14" x14ac:dyDescent="0.25">
      <c r="B40" s="22">
        <v>662</v>
      </c>
      <c r="C40" s="23" t="s">
        <v>142</v>
      </c>
      <c r="D40" s="23"/>
      <c r="E40" s="23" t="s">
        <v>143</v>
      </c>
      <c r="F40" s="24">
        <v>2</v>
      </c>
      <c r="G40" s="23"/>
      <c r="H40" s="20"/>
      <c r="I40" s="25">
        <v>802</v>
      </c>
      <c r="J40" s="23"/>
      <c r="K40" s="23"/>
      <c r="L40" s="23"/>
      <c r="M40" s="24"/>
      <c r="N40" s="23"/>
    </row>
    <row r="41" ht="11.25" customHeight="1" spans="2:14" x14ac:dyDescent="0.25">
      <c r="B41" s="22">
        <v>663</v>
      </c>
      <c r="C41" s="23" t="s">
        <v>144</v>
      </c>
      <c r="D41" s="23"/>
      <c r="E41" s="23" t="s">
        <v>145</v>
      </c>
      <c r="F41" s="24">
        <v>2</v>
      </c>
      <c r="G41" s="23"/>
      <c r="H41" s="20"/>
      <c r="I41" s="53">
        <v>803</v>
      </c>
      <c r="J41" s="54" t="s">
        <v>146</v>
      </c>
      <c r="K41" s="23"/>
      <c r="L41" s="23" t="s">
        <v>147</v>
      </c>
      <c r="M41" s="24">
        <v>2</v>
      </c>
      <c r="N41" s="55"/>
    </row>
    <row r="42" ht="11.25" customHeight="1" spans="2:14" x14ac:dyDescent="0.25">
      <c r="B42" s="22" t="s">
        <v>148</v>
      </c>
      <c r="C42" s="23" t="s">
        <v>149</v>
      </c>
      <c r="D42" s="23"/>
      <c r="E42" s="23" t="s">
        <v>150</v>
      </c>
      <c r="F42" s="24">
        <v>2</v>
      </c>
      <c r="G42" s="23"/>
      <c r="H42" s="20"/>
      <c r="I42" s="22" t="s">
        <v>151</v>
      </c>
      <c r="J42" s="38"/>
      <c r="K42" s="38"/>
      <c r="L42" s="38"/>
      <c r="M42" s="39"/>
      <c r="N42" s="40"/>
    </row>
    <row r="43" ht="11.25" customHeight="1" spans="2:14" x14ac:dyDescent="0.25">
      <c r="B43" s="19" t="s">
        <v>4</v>
      </c>
      <c r="C43" s="19"/>
      <c r="D43" s="19"/>
      <c r="E43" s="19"/>
      <c r="F43" s="36"/>
      <c r="G43" s="19"/>
      <c r="H43" s="20"/>
      <c r="I43" s="56"/>
      <c r="J43" s="56"/>
      <c r="K43" s="56"/>
      <c r="L43" s="56"/>
      <c r="M43" s="57"/>
      <c r="N43" s="46"/>
    </row>
    <row r="44" ht="11.25" customHeight="1" spans="2:15" x14ac:dyDescent="0.25">
      <c r="B44" s="22">
        <v>671</v>
      </c>
      <c r="C44" s="23" t="s">
        <v>152</v>
      </c>
      <c r="D44" s="23" t="s">
        <v>36</v>
      </c>
      <c r="E44" s="23" t="s">
        <v>153</v>
      </c>
      <c r="F44" s="24">
        <v>2</v>
      </c>
      <c r="G44" s="34"/>
      <c r="H44" s="58"/>
      <c r="I44" s="25"/>
      <c r="J44" s="59">
        <f>COUNTA(J5:J42)</f>
        <v>29</v>
      </c>
      <c r="K44" s="25"/>
      <c r="L44" s="25" t="s">
        <v>154</v>
      </c>
      <c r="M44" s="59">
        <f>SUM(M5+M6+M7+M8+M9+M10+M11+M12+M14+M15+M16+M17+M18+M20+M19+M21+M22+M23+M24+M25+M26+M28+M29+M30+M31+M32+M33+M34+M35+M36+M37+M39+M40+M41+M42)</f>
        <v>65</v>
      </c>
      <c r="N44" s="25" t="s">
        <v>4</v>
      </c>
      <c r="O44" s="60"/>
    </row>
    <row r="45" ht="11.25" customHeight="1" spans="2:15" x14ac:dyDescent="0.25">
      <c r="B45" s="22">
        <v>672</v>
      </c>
      <c r="C45" s="23" t="s">
        <v>155</v>
      </c>
      <c r="D45" s="23" t="s">
        <v>15</v>
      </c>
      <c r="E45" s="23" t="s">
        <v>156</v>
      </c>
      <c r="F45" s="24">
        <v>2</v>
      </c>
      <c r="G45" s="15" t="s">
        <v>125</v>
      </c>
      <c r="H45" s="20"/>
      <c r="I45" s="25" t="s">
        <v>4</v>
      </c>
      <c r="J45" s="59">
        <f>SUM(J44+C49)</f>
        <v>66</v>
      </c>
      <c r="K45" s="25"/>
      <c r="L45" s="25" t="s">
        <v>157</v>
      </c>
      <c r="M45" s="59">
        <f>SUM(M44+F49)</f>
        <v>142</v>
      </c>
      <c r="N45" s="25" t="s">
        <v>4</v>
      </c>
      <c r="O45" s="37"/>
    </row>
    <row r="46" ht="11.25" customHeight="1" spans="2:14" x14ac:dyDescent="0.25">
      <c r="B46" s="22">
        <v>673</v>
      </c>
      <c r="C46" s="23" t="s">
        <v>158</v>
      </c>
      <c r="D46" s="23" t="s">
        <v>15</v>
      </c>
      <c r="E46" s="23" t="s">
        <v>159</v>
      </c>
      <c r="F46" s="24">
        <v>2</v>
      </c>
      <c r="G46" s="23"/>
      <c r="H46" s="20"/>
      <c r="I46" s="61"/>
      <c r="J46" s="61"/>
      <c r="K46" s="61"/>
      <c r="L46" s="62" t="s">
        <v>160</v>
      </c>
      <c r="M46" s="61"/>
      <c r="N46" s="61"/>
    </row>
    <row r="47" ht="11.25" customHeight="1" spans="2:14" x14ac:dyDescent="0.25">
      <c r="B47" s="22">
        <v>674</v>
      </c>
      <c r="C47" s="27" t="s">
        <v>161</v>
      </c>
      <c r="D47" s="27"/>
      <c r="E47" s="27" t="s">
        <v>162</v>
      </c>
      <c r="F47" s="29">
        <v>2</v>
      </c>
      <c r="G47" s="31" t="s">
        <v>53</v>
      </c>
      <c r="H47" s="20"/>
      <c r="I47" s="27"/>
      <c r="J47" s="27" t="s">
        <v>163</v>
      </c>
      <c r="K47" s="27"/>
      <c r="L47" s="27" t="s">
        <v>164</v>
      </c>
      <c r="M47" s="27" t="s">
        <v>165</v>
      </c>
      <c r="N47" s="27"/>
    </row>
    <row r="48" ht="11.25" customHeight="1" spans="2:14" x14ac:dyDescent="0.25">
      <c r="B48" s="19"/>
      <c r="C48" s="36"/>
      <c r="D48" s="19"/>
      <c r="E48" s="19"/>
      <c r="F48" s="19"/>
      <c r="G48" s="19"/>
      <c r="H48" s="20"/>
      <c r="I48" s="27"/>
      <c r="J48" s="27" t="s">
        <v>166</v>
      </c>
      <c r="K48" s="27"/>
      <c r="L48" s="27" t="s">
        <v>167</v>
      </c>
      <c r="M48" s="27" t="s">
        <v>19</v>
      </c>
      <c r="N48" s="27"/>
    </row>
    <row r="49" ht="11.25" customHeight="1" spans="2:14" x14ac:dyDescent="0.25">
      <c r="B49" s="22" t="s">
        <v>4</v>
      </c>
      <c r="C49" s="63">
        <f>COUNTA(C5:C47)</f>
        <v>37</v>
      </c>
      <c r="D49" s="22"/>
      <c r="E49" s="22" t="s">
        <v>168</v>
      </c>
      <c r="F49" s="63">
        <f>SUM(F5+F6+F7+F8+F9+F10+F11+F13+F14+F15+F16+F17+F18+F20+F21+F22+F23+F24+F25+F27+F28+F29+F30+F31+F32+F34+F35++F36+F37+F39+F40+F41+F42+F44+F45+F46+F47)</f>
        <v>77</v>
      </c>
      <c r="G49" s="22"/>
      <c r="H49" s="20"/>
      <c r="I49" s="27"/>
      <c r="J49" s="27" t="s">
        <v>169</v>
      </c>
      <c r="K49" s="27"/>
      <c r="L49" s="27" t="s">
        <v>170</v>
      </c>
      <c r="M49" s="27" t="s">
        <v>19</v>
      </c>
      <c r="N49" s="27"/>
    </row>
    <row r="50" ht="11.25" customHeight="1" spans="2:14" x14ac:dyDescent="0.25">
      <c r="B50" s="19"/>
      <c r="C50" s="19"/>
      <c r="D50" s="19"/>
      <c r="E50" s="64" t="s">
        <v>171</v>
      </c>
      <c r="F50" s="19"/>
      <c r="G50" s="19"/>
      <c r="H50" s="20"/>
      <c r="I50" s="27"/>
      <c r="J50" s="27" t="s">
        <v>172</v>
      </c>
      <c r="K50" s="27"/>
      <c r="L50" s="27" t="s">
        <v>147</v>
      </c>
      <c r="M50" s="27" t="s">
        <v>19</v>
      </c>
      <c r="N50" s="27"/>
    </row>
    <row r="51" ht="11.25" customHeight="1" spans="2:14" x14ac:dyDescent="0.25">
      <c r="B51" s="65">
        <v>615</v>
      </c>
      <c r="C51" s="31" t="s">
        <v>31</v>
      </c>
      <c r="D51" s="31"/>
      <c r="E51" s="31" t="s">
        <v>32</v>
      </c>
      <c r="F51" s="66">
        <v>2</v>
      </c>
      <c r="G51" s="15" t="s">
        <v>71</v>
      </c>
      <c r="H51" s="20"/>
      <c r="I51" s="27"/>
      <c r="J51" s="27"/>
      <c r="K51" s="27"/>
      <c r="L51" s="27" t="s">
        <v>173</v>
      </c>
      <c r="M51" s="27" t="s">
        <v>56</v>
      </c>
      <c r="N51" s="27"/>
    </row>
    <row r="52" ht="11.25" customHeight="1" spans="2:14" x14ac:dyDescent="0.25">
      <c r="B52" s="34">
        <v>651</v>
      </c>
      <c r="C52" s="48" t="s">
        <v>123</v>
      </c>
      <c r="D52" s="48"/>
      <c r="E52" s="48" t="s">
        <v>124</v>
      </c>
      <c r="F52" s="67">
        <v>2</v>
      </c>
      <c r="G52" s="48"/>
      <c r="H52" s="20"/>
      <c r="I52" s="68"/>
      <c r="K52" s="27"/>
      <c r="L52" s="27"/>
      <c r="N52" s="68"/>
    </row>
    <row r="53" ht="11.25" customHeight="1" spans="2:14" x14ac:dyDescent="0.25">
      <c r="B53" s="33"/>
      <c r="C53" s="23"/>
      <c r="D53" s="23"/>
      <c r="E53" s="23"/>
      <c r="F53" s="24"/>
      <c r="G53" s="22"/>
      <c r="H53" s="20"/>
      <c r="I53" s="68"/>
      <c r="J53" s="25"/>
      <c r="K53" s="27"/>
      <c r="L53" s="27"/>
      <c r="M53" s="68"/>
      <c r="N53" s="68"/>
    </row>
    <row r="54" ht="11.25" customHeight="1" spans="2:14" x14ac:dyDescent="0.25">
      <c r="B54" s="25">
        <v>746</v>
      </c>
      <c r="C54" s="27" t="s">
        <v>121</v>
      </c>
      <c r="D54" s="27"/>
      <c r="E54" s="27" t="s">
        <v>122</v>
      </c>
      <c r="F54" s="29">
        <v>7</v>
      </c>
      <c r="G54" s="50"/>
      <c r="H54" s="20"/>
      <c r="I54" s="68"/>
      <c r="J54" s="44"/>
      <c r="K54" s="44"/>
      <c r="L54" s="25"/>
      <c r="M54" s="25"/>
      <c r="N54" s="25"/>
    </row>
    <row r="55" ht="11.25" customHeight="1" spans="2:15" x14ac:dyDescent="0.25">
      <c r="B55" s="25"/>
      <c r="C55" s="27"/>
      <c r="D55" s="27"/>
      <c r="E55" s="27"/>
      <c r="F55" s="29"/>
      <c r="G55" s="23"/>
      <c r="H55" s="20"/>
      <c r="I55" s="68"/>
      <c r="J55" s="44"/>
      <c r="K55" s="44"/>
      <c r="L55" s="25"/>
      <c r="M55" s="25"/>
      <c r="N55" s="25"/>
      <c r="O55" s="37"/>
    </row>
    <row r="56" ht="11.25" customHeight="1" spans="2:14" x14ac:dyDescent="0.25">
      <c r="B56" s="22"/>
      <c r="C56" s="23"/>
      <c r="D56" s="23"/>
      <c r="E56" s="23"/>
      <c r="F56" s="24"/>
      <c r="G56" s="22"/>
      <c r="H56" s="20"/>
      <c r="I56" s="61"/>
      <c r="J56" s="61"/>
      <c r="K56" s="61"/>
      <c r="L56" s="62" t="s">
        <v>174</v>
      </c>
      <c r="M56" s="61"/>
      <c r="N56" s="61"/>
    </row>
    <row r="57" ht="11.25" customHeight="1" spans="2:14" x14ac:dyDescent="0.25">
      <c r="B57" s="22"/>
      <c r="C57" s="27"/>
      <c r="D57" s="27"/>
      <c r="E57" s="27"/>
      <c r="F57" s="29"/>
      <c r="G57" s="27"/>
      <c r="H57" s="20"/>
      <c r="I57" s="25"/>
      <c r="J57" s="27" t="s">
        <v>146</v>
      </c>
      <c r="K57" s="27"/>
      <c r="L57" s="27" t="s">
        <v>175</v>
      </c>
      <c r="M57" s="27" t="s">
        <v>19</v>
      </c>
      <c r="N57" s="28"/>
    </row>
    <row r="58" ht="11.25" customHeight="1" spans="2:14" x14ac:dyDescent="0.25">
      <c r="B58" s="22"/>
      <c r="C58" s="23"/>
      <c r="D58" s="23"/>
      <c r="E58" s="23"/>
      <c r="F58" s="23"/>
      <c r="G58" s="22"/>
      <c r="H58" s="20"/>
      <c r="I58" s="25"/>
      <c r="J58" s="27" t="s">
        <v>146</v>
      </c>
      <c r="K58" s="27"/>
      <c r="L58" s="27" t="s">
        <v>176</v>
      </c>
      <c r="M58" s="27" t="s">
        <v>19</v>
      </c>
      <c r="N58" s="27"/>
    </row>
    <row r="59" ht="11.25" customHeight="1" spans="2:14" x14ac:dyDescent="0.25">
      <c r="B59" s="25"/>
      <c r="C59" s="23"/>
      <c r="D59" s="23"/>
      <c r="E59" s="23"/>
      <c r="F59" s="24"/>
      <c r="G59" s="23"/>
      <c r="H59" s="20"/>
      <c r="I59" s="25"/>
      <c r="J59" s="27" t="s">
        <v>51</v>
      </c>
      <c r="K59" s="27"/>
      <c r="L59" s="27" t="s">
        <v>177</v>
      </c>
      <c r="M59" s="27" t="s">
        <v>19</v>
      </c>
      <c r="N59" s="27"/>
    </row>
    <row r="60" ht="11.25" customHeight="1" spans="2:14" x14ac:dyDescent="0.25">
      <c r="B60" s="33"/>
      <c r="C60" s="23"/>
      <c r="D60" s="23"/>
      <c r="E60" s="23"/>
      <c r="F60" s="24"/>
      <c r="G60" s="22"/>
      <c r="H60" s="20"/>
      <c r="I60" s="25"/>
      <c r="J60" s="27" t="s">
        <v>26</v>
      </c>
      <c r="K60" s="27"/>
      <c r="L60" s="27" t="s">
        <v>178</v>
      </c>
      <c r="M60" s="27" t="s">
        <v>19</v>
      </c>
      <c r="N60" s="27"/>
    </row>
    <row r="61" ht="11.25" customHeight="1" spans="2:14" x14ac:dyDescent="0.25">
      <c r="B61" s="26"/>
      <c r="C61" s="69"/>
      <c r="D61" s="69"/>
      <c r="E61" s="69"/>
      <c r="F61" s="70"/>
      <c r="G61" s="69"/>
      <c r="H61" s="58"/>
      <c r="I61" s="25"/>
      <c r="J61" s="27" t="s">
        <v>140</v>
      </c>
      <c r="K61" s="27"/>
      <c r="L61" s="27" t="s">
        <v>179</v>
      </c>
      <c r="M61" s="27" t="s">
        <v>19</v>
      </c>
      <c r="N61" s="27"/>
    </row>
    <row r="62" ht="11.25" customHeight="1" spans="2:14" x14ac:dyDescent="0.25">
      <c r="B62" s="22"/>
      <c r="C62" s="23"/>
      <c r="D62" s="23"/>
      <c r="E62" s="23"/>
      <c r="F62" s="23"/>
      <c r="G62" s="22"/>
      <c r="H62" s="58"/>
      <c r="I62" s="25"/>
      <c r="J62" s="25" t="s">
        <v>14</v>
      </c>
      <c r="K62" s="25"/>
      <c r="L62" s="25" t="s">
        <v>180</v>
      </c>
      <c r="M62" s="25" t="s">
        <v>19</v>
      </c>
      <c r="N62" s="71"/>
    </row>
    <row r="63" ht="11.25" customHeight="1" spans="2:14" x14ac:dyDescent="0.25">
      <c r="B63" s="72"/>
      <c r="C63" s="72"/>
      <c r="D63" s="72"/>
      <c r="E63" s="73" t="s">
        <v>181</v>
      </c>
      <c r="F63" s="72"/>
      <c r="G63" s="74"/>
      <c r="H63" s="58"/>
      <c r="I63" s="25"/>
      <c r="J63" s="68"/>
      <c r="K63" s="68"/>
      <c r="L63" s="68"/>
      <c r="M63" s="68"/>
      <c r="N63" s="71"/>
    </row>
    <row r="64" ht="11.25" customHeight="1" spans="2:14" x14ac:dyDescent="0.25">
      <c r="B64" s="25">
        <v>728</v>
      </c>
      <c r="C64" s="27" t="s">
        <v>84</v>
      </c>
      <c r="D64" s="27" t="s">
        <v>15</v>
      </c>
      <c r="E64" s="27" t="s">
        <v>85</v>
      </c>
      <c r="F64" s="29">
        <v>2</v>
      </c>
      <c r="G64" s="28" t="s">
        <v>80</v>
      </c>
      <c r="H64" s="58"/>
      <c r="I64" s="68"/>
      <c r="J64" s="27"/>
      <c r="K64" s="27"/>
      <c r="L64" s="27"/>
      <c r="M64" s="29"/>
      <c r="N64" s="75"/>
    </row>
    <row r="65" ht="11.25" customHeight="1" spans="2:14" x14ac:dyDescent="0.25">
      <c r="B65" s="25">
        <v>743</v>
      </c>
      <c r="C65" s="23" t="s">
        <v>69</v>
      </c>
      <c r="D65" s="23"/>
      <c r="E65" s="23" t="s">
        <v>70</v>
      </c>
      <c r="F65" s="24">
        <v>3</v>
      </c>
      <c r="G65" s="31"/>
      <c r="H65" s="58"/>
      <c r="I65" s="68"/>
      <c r="J65" s="25"/>
      <c r="K65" s="25"/>
      <c r="L65" s="25"/>
      <c r="M65" s="25"/>
      <c r="N65" s="25"/>
    </row>
    <row r="66" ht="11.25" customHeight="1" spans="2:14" x14ac:dyDescent="0.25">
      <c r="B66" s="15"/>
      <c r="C66" s="31"/>
      <c r="D66" s="31"/>
      <c r="E66" s="31"/>
      <c r="F66" s="66"/>
      <c r="G66" s="34"/>
      <c r="H66" s="58"/>
      <c r="I66" s="68"/>
      <c r="J66" s="68"/>
      <c r="K66" s="68"/>
      <c r="L66" s="68"/>
      <c r="M66" s="68"/>
      <c r="N66" s="76"/>
    </row>
    <row r="67" ht="11.25" customHeight="1" spans="2:14" x14ac:dyDescent="0.25">
      <c r="B67" s="22"/>
      <c r="C67" s="77"/>
      <c r="D67" s="77"/>
      <c r="E67" s="22"/>
      <c r="F67" s="22"/>
      <c r="G67" s="14"/>
      <c r="H67" s="58"/>
      <c r="I67" s="68"/>
      <c r="J67" s="68"/>
      <c r="K67" s="68"/>
      <c r="L67" s="68"/>
      <c r="M67" s="68"/>
      <c r="N67" s="68"/>
    </row>
    <row r="68" ht="11.25" customHeight="1" spans="2:14" x14ac:dyDescent="0.25">
      <c r="B68" s="26"/>
      <c r="C68" s="69"/>
      <c r="D68" s="69"/>
      <c r="E68" s="69"/>
      <c r="F68" s="70"/>
      <c r="G68" s="69"/>
      <c r="H68" s="58"/>
      <c r="I68" s="69"/>
      <c r="J68" s="68"/>
      <c r="K68" s="68"/>
      <c r="L68" s="68"/>
      <c r="M68" s="68"/>
      <c r="N68" s="68"/>
    </row>
    <row r="69" ht="11.25" customHeight="1" spans="2:14" x14ac:dyDescent="0.25">
      <c r="B69" s="78"/>
      <c r="C69" s="78"/>
      <c r="D69" s="78"/>
      <c r="E69" s="78"/>
      <c r="F69" s="78"/>
      <c r="G69" s="78"/>
      <c r="H69" s="58"/>
      <c r="I69" s="78"/>
      <c r="J69" s="78"/>
      <c r="K69" s="78"/>
      <c r="L69" s="78"/>
      <c r="M69" s="78"/>
      <c r="N69" s="78"/>
    </row>
    <row r="70" ht="11.25" customHeight="1" spans="2:14" x14ac:dyDescent="0.25">
      <c r="B70" s="78"/>
      <c r="C70" s="78"/>
      <c r="D70" s="78"/>
      <c r="E70" s="78"/>
      <c r="F70" s="78"/>
      <c r="G70" s="78"/>
      <c r="H70" s="58"/>
      <c r="I70" s="78"/>
      <c r="J70" s="78"/>
      <c r="K70" s="78"/>
      <c r="L70" s="78"/>
      <c r="M70" s="78"/>
      <c r="N70" s="78"/>
    </row>
    <row r="71" ht="11.25" customHeight="1" spans="2:14" x14ac:dyDescent="0.25">
      <c r="B71" s="78"/>
      <c r="C71" s="78"/>
      <c r="D71" s="78"/>
      <c r="E71" s="78"/>
      <c r="F71" s="78"/>
      <c r="G71" s="78"/>
      <c r="H71" s="58"/>
      <c r="I71" s="78"/>
      <c r="J71" s="78"/>
      <c r="K71" s="78"/>
      <c r="L71" s="78"/>
      <c r="M71" s="78"/>
      <c r="N71" s="78"/>
    </row>
    <row r="72" ht="11.25" customHeight="1" spans="10:10" x14ac:dyDescent="0.25">
      <c r="J72" s="79"/>
    </row>
  </sheetData>
  <pageMargins left="0.25" right="0.25" top="0.75" bottom="0.75" header="0.3" footer="0.3"/>
  <pageSetup paperSize="9" orientation="portrait" horizontalDpi="4294967295" verticalDpi="4294967295" scale="83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 zoomScale="100" zoomScaleNormal="100">
      <selection activeCell="B7" sqref="B7"/>
    </sheetView>
  </sheetViews>
  <sheetFormatPr defaultRowHeight="15" outlineLevelRow="0" outlineLevelCol="0" x14ac:dyDescent="0.25" defaultColWidth="9.140625"/>
  <cols>
    <col min="1" max="1" width="6.140625" customWidth="1"/>
    <col min="2" max="2" width="14.28515625" customWidth="1"/>
    <col min="3" max="3" width="5.7109375" customWidth="1"/>
    <col min="4" max="4" width="23.85546875" customWidth="1"/>
    <col min="5" max="5" width="5.28515625" customWidth="1"/>
    <col min="6" max="6" width="64.7109375" customWidth="1"/>
  </cols>
  <sheetData>
    <row r="1" ht="15" customHeight="1" spans="1:6" x14ac:dyDescent="0.25">
      <c r="A1" s="14" t="s">
        <v>5</v>
      </c>
      <c r="B1" s="14" t="s">
        <v>6</v>
      </c>
      <c r="C1" s="15" t="s">
        <v>7</v>
      </c>
      <c r="D1" s="15" t="s">
        <v>8</v>
      </c>
      <c r="E1" s="15" t="s">
        <v>9</v>
      </c>
      <c r="F1" s="15" t="s">
        <v>10</v>
      </c>
    </row>
    <row r="2" ht="15" customHeight="1" spans="1:6" x14ac:dyDescent="0.25">
      <c r="A2" s="22">
        <v>642</v>
      </c>
      <c r="B2" s="23" t="s">
        <v>106</v>
      </c>
      <c r="C2" s="23"/>
      <c r="D2" s="23" t="s">
        <v>107</v>
      </c>
      <c r="E2" s="24">
        <v>2</v>
      </c>
      <c r="F2" s="48" t="s">
        <v>130</v>
      </c>
    </row>
    <row r="3" ht="15" customHeight="1" spans="1:6" x14ac:dyDescent="0.25">
      <c r="A3" s="22">
        <v>715</v>
      </c>
      <c r="B3" s="23" t="s">
        <v>33</v>
      </c>
      <c r="C3" s="23"/>
      <c r="D3" s="69" t="s">
        <v>34</v>
      </c>
      <c r="E3" s="24">
        <v>2</v>
      </c>
      <c r="F3" s="26"/>
    </row>
    <row r="4" ht="15" customHeight="1" spans="1:6" x14ac:dyDescent="0.25">
      <c r="A4" s="22">
        <v>674</v>
      </c>
      <c r="B4" s="27" t="s">
        <v>161</v>
      </c>
      <c r="C4" s="27"/>
      <c r="D4" s="27" t="s">
        <v>162</v>
      </c>
      <c r="E4" s="29">
        <v>2</v>
      </c>
      <c r="F4" s="28" t="s">
        <v>182</v>
      </c>
    </row>
    <row r="5" ht="15" customHeight="1" spans="1:6" x14ac:dyDescent="0.25">
      <c r="A5" s="22">
        <v>741</v>
      </c>
      <c r="B5" s="27" t="s">
        <v>108</v>
      </c>
      <c r="C5" s="27" t="s">
        <v>36</v>
      </c>
      <c r="D5" s="27" t="s">
        <v>109</v>
      </c>
      <c r="E5" s="27" t="s">
        <v>19</v>
      </c>
      <c r="F5" s="23"/>
    </row>
    <row r="6" ht="15" customHeight="1" spans="1:6" x14ac:dyDescent="0.25">
      <c r="A6" s="22">
        <v>611</v>
      </c>
      <c r="B6" s="23" t="s">
        <v>11</v>
      </c>
      <c r="C6" s="23"/>
      <c r="D6" s="23" t="s">
        <v>12</v>
      </c>
      <c r="E6" s="24">
        <v>2</v>
      </c>
      <c r="F6" s="15"/>
    </row>
    <row r="7" ht="15" customHeight="1" spans="1:6" x14ac:dyDescent="0.25">
      <c r="A7" s="22" t="s">
        <v>77</v>
      </c>
      <c r="B7" s="23" t="s">
        <v>78</v>
      </c>
      <c r="C7" s="23" t="s">
        <v>36</v>
      </c>
      <c r="D7" s="23" t="s">
        <v>79</v>
      </c>
      <c r="E7" s="23" t="s">
        <v>19</v>
      </c>
      <c r="F7" s="23" t="s">
        <v>71</v>
      </c>
    </row>
    <row r="8" ht="15" customHeight="1" spans="1:6" x14ac:dyDescent="0.25">
      <c r="A8" s="22">
        <v>671</v>
      </c>
      <c r="B8" s="23" t="s">
        <v>152</v>
      </c>
      <c r="C8" s="23" t="s">
        <v>36</v>
      </c>
      <c r="D8" s="23" t="s">
        <v>153</v>
      </c>
      <c r="E8" s="24">
        <v>2</v>
      </c>
      <c r="F8" s="34"/>
    </row>
    <row r="9" ht="15" customHeight="1" spans="1:6" x14ac:dyDescent="0.25">
      <c r="A9" s="22" t="s">
        <v>72</v>
      </c>
      <c r="B9" s="23" t="s">
        <v>73</v>
      </c>
      <c r="C9" s="23"/>
      <c r="D9" s="23" t="s">
        <v>74</v>
      </c>
      <c r="E9" s="24">
        <v>4</v>
      </c>
      <c r="F9" s="23" t="s">
        <v>80</v>
      </c>
    </row>
    <row r="10" ht="15" customHeight="1" spans="1:6" x14ac:dyDescent="0.25">
      <c r="A10" s="22" t="s">
        <v>48</v>
      </c>
      <c r="B10" s="23" t="s">
        <v>49</v>
      </c>
      <c r="C10" s="23"/>
      <c r="D10" s="23" t="s">
        <v>50</v>
      </c>
      <c r="E10" s="24">
        <v>2</v>
      </c>
      <c r="F10" s="23"/>
    </row>
    <row r="11" ht="15" customHeight="1" spans="1:6" x14ac:dyDescent="0.25">
      <c r="A11" s="22">
        <v>718</v>
      </c>
      <c r="B11" s="38" t="s">
        <v>44</v>
      </c>
      <c r="C11" s="38" t="s">
        <v>36</v>
      </c>
      <c r="D11" s="38" t="s">
        <v>45</v>
      </c>
      <c r="E11" s="39">
        <v>2</v>
      </c>
      <c r="F11" s="80"/>
    </row>
    <row r="12" ht="15" customHeight="1" spans="1:6" x14ac:dyDescent="0.25">
      <c r="A12" s="43">
        <v>729</v>
      </c>
      <c r="B12" s="23" t="s">
        <v>89</v>
      </c>
      <c r="C12" s="23"/>
      <c r="D12" s="23" t="s">
        <v>90</v>
      </c>
      <c r="E12" s="24">
        <v>2</v>
      </c>
      <c r="F12" s="23"/>
    </row>
    <row r="13" ht="15" customHeight="1" spans="1:6" x14ac:dyDescent="0.25">
      <c r="A13" s="22">
        <v>722</v>
      </c>
      <c r="B13" s="27" t="s">
        <v>57</v>
      </c>
      <c r="C13" s="27"/>
      <c r="D13" s="27" t="s">
        <v>58</v>
      </c>
      <c r="E13" s="29">
        <v>2</v>
      </c>
      <c r="F13" s="40"/>
    </row>
    <row r="14" ht="15" customHeight="1" spans="1:6" x14ac:dyDescent="0.25">
      <c r="A14" s="22">
        <v>673</v>
      </c>
      <c r="B14" s="23" t="s">
        <v>158</v>
      </c>
      <c r="C14" s="23" t="s">
        <v>15</v>
      </c>
      <c r="D14" s="23" t="s">
        <v>159</v>
      </c>
      <c r="E14" s="24">
        <v>2</v>
      </c>
      <c r="F14" s="23"/>
    </row>
    <row r="15" ht="15" customHeight="1" spans="1:6" x14ac:dyDescent="0.25">
      <c r="A15" s="22">
        <v>747</v>
      </c>
      <c r="B15" s="23" t="s">
        <v>126</v>
      </c>
      <c r="C15" s="23" t="s">
        <v>36</v>
      </c>
      <c r="D15" s="23" t="s">
        <v>127</v>
      </c>
      <c r="E15" s="24">
        <v>2</v>
      </c>
      <c r="F15" s="23"/>
    </row>
    <row r="16" ht="15" customHeight="1" spans="1:6" x14ac:dyDescent="0.25">
      <c r="A16" s="22">
        <v>712</v>
      </c>
      <c r="B16" s="23" t="s">
        <v>20</v>
      </c>
      <c r="C16" s="23"/>
      <c r="D16" s="23" t="s">
        <v>21</v>
      </c>
      <c r="E16" s="24"/>
      <c r="F16" s="26"/>
    </row>
    <row r="17" ht="15" customHeight="1" spans="1:6" x14ac:dyDescent="0.25">
      <c r="A17" s="22">
        <v>651</v>
      </c>
      <c r="B17" s="23" t="s">
        <v>123</v>
      </c>
      <c r="C17" s="23"/>
      <c r="D17" s="23" t="s">
        <v>124</v>
      </c>
      <c r="E17" s="24">
        <v>2</v>
      </c>
      <c r="F17" s="81"/>
    </row>
    <row r="18" ht="15" customHeight="1" spans="1:6" x14ac:dyDescent="0.25">
      <c r="A18" s="22" t="s">
        <v>81</v>
      </c>
      <c r="B18" s="23" t="s">
        <v>82</v>
      </c>
      <c r="C18" s="23" t="s">
        <v>36</v>
      </c>
      <c r="D18" s="23" t="s">
        <v>83</v>
      </c>
      <c r="E18" s="24">
        <v>2</v>
      </c>
      <c r="F18" s="34" t="s">
        <v>71</v>
      </c>
    </row>
    <row r="19" ht="15" customHeight="1" spans="1:6" x14ac:dyDescent="0.25">
      <c r="A19" s="22">
        <v>672</v>
      </c>
      <c r="B19" s="23" t="s">
        <v>155</v>
      </c>
      <c r="C19" s="23" t="s">
        <v>15</v>
      </c>
      <c r="D19" s="23" t="s">
        <v>156</v>
      </c>
      <c r="E19" s="24">
        <v>2</v>
      </c>
      <c r="F19" s="15"/>
    </row>
    <row r="20" ht="15" customHeight="1" spans="1:6" x14ac:dyDescent="0.25">
      <c r="A20" s="22">
        <v>645</v>
      </c>
      <c r="B20" s="23" t="s">
        <v>116</v>
      </c>
      <c r="C20" s="23"/>
      <c r="D20" s="23" t="s">
        <v>117</v>
      </c>
      <c r="E20" s="24">
        <v>2</v>
      </c>
      <c r="F20" s="23"/>
    </row>
    <row r="21" ht="15" customHeight="1" spans="1:6" x14ac:dyDescent="0.25">
      <c r="A21" s="22">
        <v>746</v>
      </c>
      <c r="B21" s="23" t="s">
        <v>121</v>
      </c>
      <c r="C21" s="23"/>
      <c r="D21" s="23" t="s">
        <v>122</v>
      </c>
      <c r="E21" s="24">
        <v>7</v>
      </c>
      <c r="F21" s="82"/>
    </row>
    <row r="22" ht="15" customHeight="1" spans="1:6" x14ac:dyDescent="0.25">
      <c r="A22" s="22">
        <v>716</v>
      </c>
      <c r="B22" s="23" t="s">
        <v>38</v>
      </c>
      <c r="C22" s="23"/>
      <c r="D22" s="69" t="s">
        <v>39</v>
      </c>
      <c r="E22" s="24">
        <v>2</v>
      </c>
      <c r="F22" s="31"/>
    </row>
    <row r="23" ht="15" customHeight="1" spans="1:6" x14ac:dyDescent="0.25">
      <c r="A23" s="22">
        <v>612</v>
      </c>
      <c r="B23" s="23" t="s">
        <v>17</v>
      </c>
      <c r="C23" s="23" t="s">
        <v>15</v>
      </c>
      <c r="D23" s="23" t="s">
        <v>18</v>
      </c>
      <c r="E23" s="23" t="s">
        <v>19</v>
      </c>
      <c r="F23" s="31"/>
    </row>
    <row r="24" ht="15" customHeight="1" spans="1:6" x14ac:dyDescent="0.25">
      <c r="A24" s="22">
        <v>748</v>
      </c>
      <c r="B24" s="23" t="s">
        <v>131</v>
      </c>
      <c r="C24" s="23" t="s">
        <v>36</v>
      </c>
      <c r="D24" s="23" t="s">
        <v>132</v>
      </c>
      <c r="E24" s="24">
        <v>2</v>
      </c>
      <c r="F24" s="23"/>
    </row>
    <row r="25" ht="15" customHeight="1" spans="1:6" x14ac:dyDescent="0.25">
      <c r="A25" s="33">
        <v>617</v>
      </c>
      <c r="B25" s="23" t="s">
        <v>40</v>
      </c>
      <c r="C25" s="23" t="s">
        <v>15</v>
      </c>
      <c r="D25" s="23" t="s">
        <v>41</v>
      </c>
      <c r="E25" s="24">
        <v>2</v>
      </c>
      <c r="F25" s="34" t="s">
        <v>53</v>
      </c>
    </row>
    <row r="26" ht="15" customHeight="1" spans="1:6" x14ac:dyDescent="0.25">
      <c r="A26" s="22">
        <v>614</v>
      </c>
      <c r="B26" s="23" t="s">
        <v>26</v>
      </c>
      <c r="C26" s="23" t="s">
        <v>15</v>
      </c>
      <c r="D26" s="23" t="s">
        <v>27</v>
      </c>
      <c r="E26" s="24">
        <v>2</v>
      </c>
      <c r="F26" s="31"/>
    </row>
    <row r="27" ht="15" customHeight="1" spans="1:6" x14ac:dyDescent="0.25">
      <c r="A27" s="22">
        <v>730</v>
      </c>
      <c r="B27" s="23" t="s">
        <v>92</v>
      </c>
      <c r="C27" s="23"/>
      <c r="D27" s="23" t="s">
        <v>93</v>
      </c>
      <c r="E27" s="24"/>
      <c r="F27" s="31"/>
    </row>
    <row r="28" ht="15" customHeight="1" spans="1:6" x14ac:dyDescent="0.25">
      <c r="A28" s="22">
        <v>713</v>
      </c>
      <c r="B28" s="27" t="s">
        <v>24</v>
      </c>
      <c r="C28" s="27"/>
      <c r="D28" s="32" t="s">
        <v>25</v>
      </c>
      <c r="E28" s="29">
        <v>2</v>
      </c>
      <c r="F28" s="27"/>
    </row>
    <row r="29" ht="15" customHeight="1" spans="1:6" x14ac:dyDescent="0.25">
      <c r="A29" s="22">
        <v>711</v>
      </c>
      <c r="B29" s="27" t="s">
        <v>14</v>
      </c>
      <c r="C29" s="27" t="s">
        <v>15</v>
      </c>
      <c r="D29" s="27" t="s">
        <v>16</v>
      </c>
      <c r="E29" s="29">
        <v>2</v>
      </c>
      <c r="F29" s="30"/>
    </row>
    <row r="30" ht="15" customHeight="1" spans="1:6" x14ac:dyDescent="0.25">
      <c r="A30" s="22">
        <v>625</v>
      </c>
      <c r="B30" s="23" t="s">
        <v>63</v>
      </c>
      <c r="C30" s="23"/>
      <c r="D30" s="23" t="s">
        <v>64</v>
      </c>
      <c r="E30" s="24">
        <v>2</v>
      </c>
      <c r="F30" s="31"/>
    </row>
    <row r="31" ht="15" customHeight="1" spans="1:6" x14ac:dyDescent="0.25">
      <c r="A31" s="22" t="s">
        <v>28</v>
      </c>
      <c r="B31" s="23" t="s">
        <v>29</v>
      </c>
      <c r="C31" s="23" t="s">
        <v>15</v>
      </c>
      <c r="D31" s="23" t="s">
        <v>30</v>
      </c>
      <c r="E31" s="24">
        <v>2</v>
      </c>
      <c r="F31" s="23"/>
    </row>
    <row r="32" ht="15" customHeight="1" spans="1:6" x14ac:dyDescent="0.25">
      <c r="A32" s="22">
        <v>728</v>
      </c>
      <c r="B32" s="23" t="s">
        <v>183</v>
      </c>
      <c r="C32" s="23"/>
      <c r="D32" s="23" t="s">
        <v>184</v>
      </c>
      <c r="E32" s="23" t="s">
        <v>19</v>
      </c>
      <c r="F32" s="79"/>
    </row>
    <row r="33" ht="15" customHeight="1" spans="1:6" x14ac:dyDescent="0.25">
      <c r="A33" s="22">
        <v>732</v>
      </c>
      <c r="B33" s="23" t="s">
        <v>100</v>
      </c>
      <c r="C33" s="23"/>
      <c r="D33" s="23" t="s">
        <v>101</v>
      </c>
      <c r="E33" s="24">
        <v>2</v>
      </c>
      <c r="F33" s="31"/>
    </row>
    <row r="34" ht="15" customHeight="1" spans="1:6" x14ac:dyDescent="0.25">
      <c r="A34" s="22">
        <v>621</v>
      </c>
      <c r="B34" s="23" t="s">
        <v>46</v>
      </c>
      <c r="C34" s="23"/>
      <c r="D34" s="23" t="s">
        <v>47</v>
      </c>
      <c r="E34" s="24">
        <v>3</v>
      </c>
      <c r="F34" s="26" t="s">
        <v>125</v>
      </c>
    </row>
    <row r="35" ht="15" customHeight="1" spans="1:6" x14ac:dyDescent="0.25">
      <c r="A35" s="22">
        <v>626</v>
      </c>
      <c r="B35" s="23" t="s">
        <v>67</v>
      </c>
      <c r="C35" s="23"/>
      <c r="D35" s="23" t="s">
        <v>68</v>
      </c>
      <c r="E35" s="24">
        <v>2</v>
      </c>
      <c r="F35" s="23"/>
    </row>
    <row r="36" ht="15" customHeight="1" spans="1:6" x14ac:dyDescent="0.25">
      <c r="A36" s="22">
        <v>634</v>
      </c>
      <c r="B36" s="23" t="s">
        <v>91</v>
      </c>
      <c r="C36" s="23" t="s">
        <v>36</v>
      </c>
      <c r="D36" s="23" t="s">
        <v>90</v>
      </c>
      <c r="E36" s="24">
        <v>2</v>
      </c>
      <c r="F36" s="26"/>
    </row>
    <row r="37" ht="15" customHeight="1" spans="1:6" x14ac:dyDescent="0.25">
      <c r="A37" s="22">
        <v>643</v>
      </c>
      <c r="B37" s="23" t="s">
        <v>110</v>
      </c>
      <c r="C37" s="23"/>
      <c r="D37" s="23" t="s">
        <v>111</v>
      </c>
      <c r="E37" s="24">
        <v>2</v>
      </c>
      <c r="F37" s="26"/>
    </row>
    <row r="38" ht="15" customHeight="1" spans="1:6" x14ac:dyDescent="0.25">
      <c r="A38" s="22">
        <v>644</v>
      </c>
      <c r="B38" s="23" t="s">
        <v>114</v>
      </c>
      <c r="C38" s="23"/>
      <c r="D38" s="23" t="s">
        <v>115</v>
      </c>
      <c r="E38" s="24">
        <v>2</v>
      </c>
      <c r="F38" s="31" t="s">
        <v>13</v>
      </c>
    </row>
    <row r="39" ht="15" customHeight="1" spans="1:6" x14ac:dyDescent="0.25">
      <c r="A39" s="22">
        <v>654</v>
      </c>
      <c r="B39" s="23" t="s">
        <v>137</v>
      </c>
      <c r="C39" s="23"/>
      <c r="D39" s="23" t="s">
        <v>138</v>
      </c>
      <c r="E39" s="24">
        <v>2</v>
      </c>
      <c r="F39" s="23"/>
    </row>
    <row r="40" ht="15" customHeight="1" spans="1:6" x14ac:dyDescent="0.25">
      <c r="A40" s="22">
        <v>663</v>
      </c>
      <c r="B40" s="23" t="s">
        <v>144</v>
      </c>
      <c r="C40" s="23"/>
      <c r="D40" s="23" t="s">
        <v>145</v>
      </c>
      <c r="E40" s="24">
        <v>2</v>
      </c>
      <c r="F40" s="23"/>
    </row>
    <row r="41" ht="15" customHeight="1" spans="1:6" x14ac:dyDescent="0.25">
      <c r="A41" s="22">
        <v>636</v>
      </c>
      <c r="B41" s="23" t="s">
        <v>98</v>
      </c>
      <c r="C41" s="23"/>
      <c r="D41" s="23" t="s">
        <v>99</v>
      </c>
      <c r="E41" s="24">
        <v>2</v>
      </c>
      <c r="F41" s="23"/>
    </row>
    <row r="42" ht="15" customHeight="1" spans="1:6" x14ac:dyDescent="0.25">
      <c r="A42" s="22">
        <v>725</v>
      </c>
      <c r="B42" s="23" t="s">
        <v>69</v>
      </c>
      <c r="C42" s="23"/>
      <c r="D42" s="23" t="s">
        <v>70</v>
      </c>
      <c r="E42" s="24">
        <v>2</v>
      </c>
      <c r="F42" s="31" t="s">
        <v>80</v>
      </c>
    </row>
    <row r="43" ht="15" customHeight="1" spans="1:6" x14ac:dyDescent="0.25">
      <c r="A43" s="22">
        <v>662</v>
      </c>
      <c r="B43" s="23" t="s">
        <v>142</v>
      </c>
      <c r="C43" s="23"/>
      <c r="D43" s="23" t="s">
        <v>143</v>
      </c>
      <c r="E43" s="24">
        <v>2</v>
      </c>
      <c r="F43" s="23"/>
    </row>
    <row r="44" ht="15" customHeight="1" spans="1:6" x14ac:dyDescent="0.25">
      <c r="A44" s="22">
        <v>624</v>
      </c>
      <c r="B44" s="23" t="s">
        <v>59</v>
      </c>
      <c r="C44" s="23"/>
      <c r="D44" s="23" t="s">
        <v>60</v>
      </c>
      <c r="E44" s="24">
        <v>2</v>
      </c>
      <c r="F44" s="15"/>
    </row>
    <row r="45" ht="15" customHeight="1" spans="1:6" x14ac:dyDescent="0.25">
      <c r="A45" s="22">
        <v>723</v>
      </c>
      <c r="B45" s="27" t="s">
        <v>61</v>
      </c>
      <c r="C45" s="27"/>
      <c r="D45" s="27" t="s">
        <v>62</v>
      </c>
      <c r="E45" s="29">
        <v>2</v>
      </c>
      <c r="F45" s="23"/>
    </row>
    <row r="46" ht="15" customHeight="1" spans="1:6" x14ac:dyDescent="0.25">
      <c r="A46" s="25" t="s">
        <v>86</v>
      </c>
      <c r="B46" s="23" t="s">
        <v>87</v>
      </c>
      <c r="C46" s="23"/>
      <c r="D46" s="23" t="s">
        <v>88</v>
      </c>
      <c r="E46" s="24">
        <v>3</v>
      </c>
      <c r="F46" s="23"/>
    </row>
    <row r="47" ht="15" customHeight="1" spans="1:6" x14ac:dyDescent="0.25">
      <c r="A47" s="25">
        <v>661</v>
      </c>
      <c r="B47" s="27" t="s">
        <v>140</v>
      </c>
      <c r="C47" s="27" t="s">
        <v>15</v>
      </c>
      <c r="D47" s="27" t="s">
        <v>141</v>
      </c>
      <c r="E47" s="29">
        <v>2</v>
      </c>
      <c r="F47" s="28" t="s">
        <v>53</v>
      </c>
    </row>
    <row r="48" ht="15" customHeight="1" spans="1:6" x14ac:dyDescent="0.25">
      <c r="A48" s="25">
        <v>646</v>
      </c>
      <c r="B48" s="27" t="s">
        <v>119</v>
      </c>
      <c r="C48" s="27"/>
      <c r="D48" s="27" t="s">
        <v>120</v>
      </c>
      <c r="E48" s="29">
        <v>2</v>
      </c>
      <c r="F48" s="30"/>
    </row>
    <row r="49" ht="15" customHeight="1" spans="1:6" x14ac:dyDescent="0.25">
      <c r="A49" s="25" t="s">
        <v>148</v>
      </c>
      <c r="B49" s="27" t="s">
        <v>149</v>
      </c>
      <c r="C49" s="27"/>
      <c r="D49" s="27" t="s">
        <v>150</v>
      </c>
      <c r="E49" s="29">
        <v>2</v>
      </c>
      <c r="F49" s="27"/>
    </row>
    <row r="50" ht="15" customHeight="1" spans="1:6" x14ac:dyDescent="0.25">
      <c r="A50" s="25">
        <v>613</v>
      </c>
      <c r="B50" s="27" t="s">
        <v>22</v>
      </c>
      <c r="C50" s="27"/>
      <c r="D50" s="27" t="s">
        <v>23</v>
      </c>
      <c r="E50" s="29">
        <v>2</v>
      </c>
      <c r="F50" s="28"/>
    </row>
    <row r="51" ht="15" customHeight="1" spans="1:6" x14ac:dyDescent="0.25">
      <c r="A51" s="25">
        <v>623</v>
      </c>
      <c r="B51" s="27" t="s">
        <v>54</v>
      </c>
      <c r="C51" s="27"/>
      <c r="D51" s="27" t="s">
        <v>55</v>
      </c>
      <c r="E51" s="27" t="s">
        <v>56</v>
      </c>
      <c r="F51" s="30"/>
    </row>
    <row r="52" ht="15" customHeight="1" spans="1:6" x14ac:dyDescent="0.25">
      <c r="A52" s="68">
        <v>616</v>
      </c>
      <c r="B52" s="27" t="s">
        <v>35</v>
      </c>
      <c r="C52" s="27" t="s">
        <v>36</v>
      </c>
      <c r="D52" s="27" t="s">
        <v>37</v>
      </c>
      <c r="E52" s="29">
        <v>2</v>
      </c>
      <c r="F52" s="27"/>
    </row>
    <row r="53" ht="15" customHeight="1" spans="1:6" x14ac:dyDescent="0.25">
      <c r="A53" s="25">
        <v>717</v>
      </c>
      <c r="B53" s="27" t="s">
        <v>42</v>
      </c>
      <c r="C53" s="27"/>
      <c r="D53" s="27" t="s">
        <v>43</v>
      </c>
      <c r="E53" s="27" t="s">
        <v>19</v>
      </c>
      <c r="F53" s="27"/>
    </row>
    <row r="54" ht="15" customHeight="1" spans="1:6" x14ac:dyDescent="0.25">
      <c r="A54" s="25">
        <v>652</v>
      </c>
      <c r="B54" s="27" t="s">
        <v>128</v>
      </c>
      <c r="C54" s="27" t="s">
        <v>15</v>
      </c>
      <c r="D54" s="27" t="s">
        <v>129</v>
      </c>
      <c r="E54" s="29">
        <v>2</v>
      </c>
      <c r="F54" s="83"/>
    </row>
    <row r="55" ht="15" customHeight="1" spans="1:6" x14ac:dyDescent="0.25">
      <c r="A55" s="25">
        <v>653</v>
      </c>
      <c r="B55" s="23" t="s">
        <v>133</v>
      </c>
      <c r="C55" s="23" t="s">
        <v>36</v>
      </c>
      <c r="D55" s="23" t="s">
        <v>134</v>
      </c>
      <c r="E55" s="24">
        <v>2</v>
      </c>
      <c r="F55" s="23"/>
    </row>
    <row r="56" ht="15" customHeight="1" spans="1:6" x14ac:dyDescent="0.25">
      <c r="A56" s="25">
        <v>631</v>
      </c>
      <c r="B56" s="27" t="s">
        <v>75</v>
      </c>
      <c r="C56" s="27" t="s">
        <v>15</v>
      </c>
      <c r="D56" s="27" t="s">
        <v>76</v>
      </c>
      <c r="E56" s="29">
        <v>2</v>
      </c>
      <c r="F56" s="30"/>
    </row>
    <row r="57" ht="15" customHeight="1" spans="1:6" x14ac:dyDescent="0.25">
      <c r="A57" s="25">
        <v>749</v>
      </c>
      <c r="B57" s="27" t="s">
        <v>135</v>
      </c>
      <c r="C57" s="27" t="s">
        <v>15</v>
      </c>
      <c r="D57" s="27" t="s">
        <v>136</v>
      </c>
      <c r="E57" s="29">
        <v>6</v>
      </c>
      <c r="F57" s="27" t="s">
        <v>130</v>
      </c>
    </row>
    <row r="58" ht="15" customHeight="1" spans="1:6" x14ac:dyDescent="0.25">
      <c r="A58" s="25">
        <v>743</v>
      </c>
      <c r="B58" s="27" t="s">
        <v>84</v>
      </c>
      <c r="C58" s="27" t="s">
        <v>15</v>
      </c>
      <c r="D58" s="27" t="s">
        <v>85</v>
      </c>
      <c r="E58" s="29">
        <v>2</v>
      </c>
      <c r="F58" s="28" t="s">
        <v>53</v>
      </c>
    </row>
    <row r="59" ht="15" customHeight="1" spans="1:6" x14ac:dyDescent="0.25">
      <c r="A59" s="25">
        <v>635</v>
      </c>
      <c r="B59" s="23" t="s">
        <v>94</v>
      </c>
      <c r="C59" s="23" t="s">
        <v>36</v>
      </c>
      <c r="D59" s="23" t="s">
        <v>95</v>
      </c>
      <c r="E59" s="24">
        <v>2</v>
      </c>
      <c r="F59" s="31"/>
    </row>
    <row r="60" ht="15" customHeight="1" spans="1:6" x14ac:dyDescent="0.25">
      <c r="A60" s="25">
        <v>724</v>
      </c>
      <c r="B60" s="27" t="s">
        <v>65</v>
      </c>
      <c r="C60" s="27"/>
      <c r="D60" s="27" t="s">
        <v>66</v>
      </c>
      <c r="E60" s="29">
        <v>2</v>
      </c>
      <c r="F60" s="27"/>
    </row>
    <row r="61" ht="15" customHeight="1" spans="1:6" x14ac:dyDescent="0.25">
      <c r="A61" s="44">
        <v>721</v>
      </c>
      <c r="B61" s="27" t="s">
        <v>51</v>
      </c>
      <c r="C61" s="27" t="s">
        <v>15</v>
      </c>
      <c r="D61" s="27" t="s">
        <v>52</v>
      </c>
      <c r="E61" s="29">
        <v>2</v>
      </c>
      <c r="F61" s="83"/>
    </row>
    <row r="62" ht="15" customHeight="1" spans="1:6" x14ac:dyDescent="0.25">
      <c r="A62" s="68">
        <v>615</v>
      </c>
      <c r="B62" s="27" t="s">
        <v>31</v>
      </c>
      <c r="C62" s="27" t="s">
        <v>15</v>
      </c>
      <c r="D62" s="27" t="s">
        <v>32</v>
      </c>
      <c r="E62" s="29">
        <v>2</v>
      </c>
      <c r="F62" s="83"/>
    </row>
    <row r="63" ht="15" customHeight="1" spans="1:6" x14ac:dyDescent="0.25">
      <c r="A63" s="25">
        <v>731</v>
      </c>
      <c r="B63" s="27" t="s">
        <v>96</v>
      </c>
      <c r="C63" s="27"/>
      <c r="D63" s="27" t="s">
        <v>97</v>
      </c>
      <c r="E63" s="29">
        <v>2</v>
      </c>
      <c r="F63" s="30"/>
    </row>
    <row r="64" ht="15" customHeight="1" spans="1:6" x14ac:dyDescent="0.25">
      <c r="A64" s="25">
        <v>742</v>
      </c>
      <c r="B64" s="27" t="s">
        <v>112</v>
      </c>
      <c r="C64" s="27"/>
      <c r="D64" s="27" t="s">
        <v>113</v>
      </c>
      <c r="E64" s="29">
        <v>3</v>
      </c>
      <c r="F64" s="26" t="s">
        <v>80</v>
      </c>
    </row>
    <row r="65" ht="15" customHeight="1" spans="1:6" x14ac:dyDescent="0.25">
      <c r="A65" s="25">
        <v>733</v>
      </c>
      <c r="B65" s="27" t="s">
        <v>102</v>
      </c>
      <c r="C65" s="27" t="s">
        <v>15</v>
      </c>
      <c r="D65" s="27" t="s">
        <v>103</v>
      </c>
      <c r="E65" s="27" t="s">
        <v>19</v>
      </c>
      <c r="F65" s="28"/>
    </row>
    <row r="66" ht="15" customHeight="1" spans="1:6" x14ac:dyDescent="0.25">
      <c r="A66" s="25">
        <v>641</v>
      </c>
      <c r="B66" s="23" t="s">
        <v>104</v>
      </c>
      <c r="C66" s="23"/>
      <c r="D66" s="23" t="s">
        <v>105</v>
      </c>
      <c r="E66" s="24">
        <v>2</v>
      </c>
      <c r="F66" s="23"/>
    </row>
    <row r="67" ht="15" customHeight="1" spans="1:6" x14ac:dyDescent="0.25">
      <c r="A67" s="25">
        <v>803</v>
      </c>
      <c r="B67" s="27" t="s">
        <v>146</v>
      </c>
      <c r="C67" s="23"/>
      <c r="D67" s="27" t="s">
        <v>147</v>
      </c>
      <c r="E67" s="29">
        <v>2</v>
      </c>
      <c r="F67" s="27" t="s">
        <v>125</v>
      </c>
    </row>
    <row r="68" ht="15" customHeight="1" spans="1:6" x14ac:dyDescent="0.25">
      <c r="A68" s="21" t="s">
        <v>4</v>
      </c>
      <c r="B68" s="21"/>
      <c r="C68" s="21"/>
      <c r="D68" s="21"/>
      <c r="E68" s="21"/>
      <c r="F68" s="21"/>
    </row>
    <row r="69" ht="15" customHeight="1" spans="1:6" x14ac:dyDescent="0.25">
      <c r="A69" s="21"/>
      <c r="B69" s="21"/>
      <c r="C69" s="21"/>
      <c r="D69" s="21"/>
      <c r="E69" s="84"/>
      <c r="F69" s="21"/>
    </row>
    <row r="70" ht="15" customHeight="1" spans="1:6" x14ac:dyDescent="0.25">
      <c r="A70" s="21" t="s">
        <v>4</v>
      </c>
      <c r="B70" s="85"/>
      <c r="C70" s="85"/>
      <c r="D70" s="85"/>
      <c r="E70" s="86"/>
      <c r="F70" s="85"/>
    </row>
    <row r="71" ht="15" customHeight="1" spans="1:6" x14ac:dyDescent="0.25">
      <c r="A71" s="21" t="s">
        <v>4</v>
      </c>
      <c r="B71" s="21"/>
      <c r="C71" s="21"/>
      <c r="D71" s="87"/>
      <c r="E71" s="84"/>
      <c r="F71" s="21"/>
    </row>
    <row r="72" ht="15" customHeight="1" spans="1:6" x14ac:dyDescent="0.25">
      <c r="A72" s="21" t="s">
        <v>4</v>
      </c>
      <c r="B72" s="21"/>
      <c r="C72" s="21"/>
      <c r="D72" s="21"/>
      <c r="E72" s="84"/>
      <c r="F72" s="21"/>
    </row>
    <row r="73" ht="15" customHeight="1" spans="1:6" x14ac:dyDescent="0.25">
      <c r="A73" s="21" t="s">
        <v>4</v>
      </c>
      <c r="B73" s="21"/>
      <c r="C73" s="21"/>
      <c r="D73" s="21"/>
      <c r="E73" s="84"/>
      <c r="F73" s="88"/>
    </row>
    <row r="74" ht="15" customHeight="1" spans="1:6" x14ac:dyDescent="0.25">
      <c r="A74" s="21" t="s">
        <v>4</v>
      </c>
      <c r="B74" s="21"/>
      <c r="C74" s="21"/>
      <c r="D74" s="21"/>
      <c r="E74" s="84"/>
      <c r="F74" s="21"/>
    </row>
    <row r="75" ht="15" customHeight="1" spans="1:6" x14ac:dyDescent="0.25">
      <c r="A75" s="41"/>
      <c r="B75" s="41"/>
      <c r="C75" s="41"/>
      <c r="D75" s="41"/>
      <c r="E75" s="42"/>
      <c r="F75" s="41"/>
    </row>
    <row r="76" ht="15" customHeight="1" spans="1:6" x14ac:dyDescent="0.25">
      <c r="A76" s="21" t="s">
        <v>4</v>
      </c>
      <c r="B76" s="46"/>
      <c r="C76" s="46"/>
      <c r="D76" s="46"/>
      <c r="E76" s="47"/>
      <c r="F76" s="46"/>
    </row>
    <row r="77" ht="15" customHeight="1" spans="1:6" x14ac:dyDescent="0.25">
      <c r="A77" s="25">
        <v>744</v>
      </c>
      <c r="B77" s="23"/>
      <c r="C77" s="27"/>
      <c r="D77" s="23" t="s">
        <v>118</v>
      </c>
      <c r="E77" s="24"/>
      <c r="F77" s="27"/>
    </row>
    <row r="78" ht="15" customHeight="1" spans="1:6" x14ac:dyDescent="0.25">
      <c r="A78" s="25">
        <v>745</v>
      </c>
      <c r="B78" s="27"/>
      <c r="C78" s="27"/>
      <c r="D78" s="27" t="s">
        <v>118</v>
      </c>
      <c r="E78" s="29"/>
      <c r="F78" s="28" t="s">
        <v>125</v>
      </c>
    </row>
    <row r="79" ht="15" customHeight="1" spans="1:6" x14ac:dyDescent="0.25">
      <c r="A79" s="25">
        <v>750</v>
      </c>
      <c r="B79" s="27"/>
      <c r="C79" s="27"/>
      <c r="D79" s="27" t="s">
        <v>139</v>
      </c>
      <c r="E79" s="29"/>
      <c r="F79" s="27"/>
    </row>
    <row r="80" ht="15" customHeight="1" spans="1:6" x14ac:dyDescent="0.25">
      <c r="A80" s="46" t="s">
        <v>4</v>
      </c>
      <c r="B80" s="46"/>
      <c r="C80" s="46"/>
      <c r="D80" s="46"/>
      <c r="E80" s="47"/>
      <c r="F80" s="46"/>
    </row>
    <row r="81" ht="15" customHeight="1" spans="1:6" x14ac:dyDescent="0.25">
      <c r="A81" s="25">
        <v>801</v>
      </c>
      <c r="B81" s="23"/>
      <c r="C81" s="23"/>
      <c r="D81" s="23"/>
      <c r="E81" s="23"/>
      <c r="F81" s="23"/>
    </row>
    <row r="82" ht="15" customHeight="1" spans="1:6" x14ac:dyDescent="0.25">
      <c r="A82" s="53">
        <v>802</v>
      </c>
      <c r="B82" s="54"/>
      <c r="C82" s="23"/>
      <c r="D82" s="23"/>
      <c r="E82" s="24"/>
      <c r="F82" s="55"/>
    </row>
    <row r="83" ht="15" customHeight="1" spans="1:6" x14ac:dyDescent="0.25">
      <c r="A83" s="22" t="s">
        <v>151</v>
      </c>
      <c r="B83" s="38"/>
      <c r="C83" s="38"/>
      <c r="D83" s="38"/>
      <c r="E83" s="39"/>
      <c r="F83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Wanner</dc:creator>
  <dc:title/>
  <dc:subject/>
  <dc:description/>
  <cp:keywords/>
  <cp:category/>
  <cp:lastModifiedBy>PANORAMA  Allgäu Spa Resort</cp:lastModifiedBy>
  <cp:contentStatus/>
  <dcterms:created xsi:type="dcterms:W3CDTF">2024-12-03T06:21:18Z</dcterms:created>
  <dcterms:modified xsi:type="dcterms:W3CDTF">2026-06-30T07:00:38Z</dcterms:modified>
</cp:coreProperties>
</file>