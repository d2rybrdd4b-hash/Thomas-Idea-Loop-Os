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schplan" sheetId="1" r:id="rId1"/>
    <sheet name="Sortierung Zimmer" sheetId="2" r:id="rId2"/>
  </sheets>
  <definedNames>
    <definedName name="_xlnm._FilterDatabase" localSheetId="0" hidden="1">Tischplan!#REF!</definedName>
    <definedName name="_xlnm.Print_Area" localSheetId="0">Tischplan!$B$1:$G$68,Tischplan!$I$1:$N$68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workbookViewId="0" rightToLeft="0"/>
  </sheetViews>
  <sheetData>
    <row r="1">
      <c r="B1" t="str">
        <v>LH</v>
      </c>
      <c r="C1">
        <f>NOW()-TODAY()</f>
        <v>0.40990208333096234</v>
      </c>
      <c r="E1" t="str">
        <v>10. Juli - Freitag</v>
      </c>
      <c r="G1" t="str">
        <v xml:space="preserve">Panorama Restaurant </v>
      </c>
      <c r="I1" t="str">
        <v>LH</v>
      </c>
      <c r="J1">
        <f>NOW()-TODAY()</f>
        <v>0.40990208333096234</v>
      </c>
      <c r="L1" t="str">
        <v>10. Juli - Freitag</v>
      </c>
      <c r="N1" t="str">
        <v xml:space="preserve">Neue Restaurants </v>
      </c>
    </row>
    <row r="2">
      <c r="C2" t="str">
        <v xml:space="preserve"> </v>
      </c>
      <c r="E2" t="str">
        <v xml:space="preserve"> </v>
      </c>
      <c r="F2" t="str">
        <v xml:space="preserve"> </v>
      </c>
      <c r="G2" t="str">
        <v xml:space="preserve"> </v>
      </c>
      <c r="I2" t="str">
        <v xml:space="preserve"> </v>
      </c>
      <c r="J2" t="str">
        <v xml:space="preserve"> </v>
      </c>
      <c r="L2" t="str">
        <v xml:space="preserve"> </v>
      </c>
      <c r="M2" t="str">
        <v xml:space="preserve"> </v>
      </c>
      <c r="N2" t="str">
        <v xml:space="preserve"> </v>
      </c>
    </row>
    <row r="3">
      <c r="B3" t="str">
        <v>Tisch</v>
      </c>
      <c r="C3" t="str">
        <v>Zimmer</v>
      </c>
      <c r="D3" t="str">
        <v>Status</v>
      </c>
      <c r="E3" t="str">
        <v>Gastname</v>
      </c>
      <c r="F3" t="str">
        <v>Pax</v>
      </c>
      <c r="G3" t="str">
        <v>Extras</v>
      </c>
      <c r="I3" t="str">
        <v>Tisch</v>
      </c>
      <c r="J3" t="str">
        <v>Zimmer</v>
      </c>
      <c r="K3" t="str">
        <v>Status</v>
      </c>
      <c r="L3" t="str">
        <v>Gastname</v>
      </c>
      <c r="M3" t="str">
        <v>Pax</v>
      </c>
      <c r="N3" t="str">
        <v>Extras</v>
      </c>
    </row>
    <row r="4">
      <c r="B4" t="str">
        <v xml:space="preserve"> </v>
      </c>
      <c r="I4" t="str">
        <v xml:space="preserve"> </v>
      </c>
    </row>
    <row r="5">
      <c r="B5">
        <v>611</v>
      </c>
      <c r="C5" t="str">
        <v>105</v>
      </c>
      <c r="E5" t="str">
        <v>Imhof</v>
      </c>
      <c r="F5">
        <v>3</v>
      </c>
      <c r="G5" t="str">
        <v>1x Rollstuhl, davon 1 Kind 4J</v>
      </c>
      <c r="I5">
        <v>711</v>
      </c>
      <c r="J5" t="str">
        <v>401</v>
      </c>
      <c r="K5" t="str">
        <v>AN</v>
      </c>
      <c r="L5" t="str">
        <v>Noll5</v>
      </c>
      <c r="M5">
        <v>2</v>
      </c>
    </row>
    <row r="6">
      <c r="B6">
        <v>612</v>
      </c>
      <c r="C6" t="str">
        <v>113</v>
      </c>
      <c r="E6" t="str">
        <v>Timm12</v>
      </c>
      <c r="F6" t="str">
        <v>4</v>
      </c>
      <c r="G6" t="str">
        <v>davon 2 Kinder 7, 11J</v>
      </c>
      <c r="I6">
        <v>712</v>
      </c>
      <c r="J6" t="str">
        <v>511</v>
      </c>
      <c r="K6" t="str">
        <v>AN</v>
      </c>
      <c r="L6" t="str">
        <v>Frei9</v>
      </c>
      <c r="M6">
        <v>2</v>
      </c>
    </row>
    <row r="7">
      <c r="B7">
        <v>613</v>
      </c>
      <c r="E7" t="str">
        <v>zu 612</v>
      </c>
      <c r="I7">
        <v>713</v>
      </c>
      <c r="J7" t="str">
        <v>504</v>
      </c>
      <c r="K7" t="str">
        <v>AN</v>
      </c>
      <c r="L7" t="str">
        <v>Moser6</v>
      </c>
      <c r="M7">
        <v>2</v>
      </c>
      <c r="N7" t="str">
        <v>CL am 11.07.</v>
      </c>
    </row>
    <row r="8">
      <c r="B8">
        <v>614</v>
      </c>
      <c r="C8" t="str">
        <v>108</v>
      </c>
      <c r="D8" t="str">
        <v>AN</v>
      </c>
      <c r="E8" t="str">
        <v>Thoma5</v>
      </c>
      <c r="F8">
        <v>2</v>
      </c>
      <c r="I8" t="str">
        <v>714</v>
      </c>
      <c r="J8" t="str">
        <v>307</v>
      </c>
      <c r="L8" t="str">
        <v>Dr. Adler9, Dr. Clauss10</v>
      </c>
      <c r="M8">
        <v>3</v>
      </c>
      <c r="N8" t="str">
        <v>davon 1 Kind 10J</v>
      </c>
    </row>
    <row r="9">
      <c r="B9">
        <v>615</v>
      </c>
      <c r="C9" t="str">
        <v>518</v>
      </c>
      <c r="E9" t="str">
        <v>Hahn2, Lang12</v>
      </c>
      <c r="F9">
        <v>3</v>
      </c>
      <c r="G9" t="str">
        <v>davon 1 Kind 0J</v>
      </c>
      <c r="I9">
        <v>715</v>
      </c>
      <c r="J9" t="str">
        <v>508</v>
      </c>
      <c r="K9" t="str">
        <v>AN</v>
      </c>
      <c r="L9" t="str">
        <v>Imhof2, Moser12</v>
      </c>
      <c r="M9">
        <v>2</v>
      </c>
    </row>
    <row r="10">
      <c r="B10">
        <v>616</v>
      </c>
      <c r="C10" t="str">
        <v>217</v>
      </c>
      <c r="D10" t="str">
        <v>AB</v>
      </c>
      <c r="E10" t="str">
        <v>Amann6</v>
      </c>
      <c r="F10" t="str">
        <v>2</v>
      </c>
      <c r="I10">
        <v>716</v>
      </c>
      <c r="J10" t="str">
        <v>403</v>
      </c>
      <c r="K10" t="str">
        <v>AN</v>
      </c>
      <c r="L10" t="str">
        <v>Thoma8</v>
      </c>
      <c r="M10">
        <v>2</v>
      </c>
    </row>
    <row r="11">
      <c r="B11">
        <v>617</v>
      </c>
      <c r="C11" t="str">
        <v>2007</v>
      </c>
      <c r="E11" t="str">
        <v>Ostheim6</v>
      </c>
      <c r="F11" t="str">
        <v>2</v>
      </c>
      <c r="I11">
        <v>717</v>
      </c>
      <c r="J11" t="str">
        <v>112</v>
      </c>
      <c r="K11" t="str">
        <v>AN</v>
      </c>
      <c r="L11" t="str">
        <v>D'Ambrosio, Quandt13</v>
      </c>
      <c r="M11" t="str">
        <v>2</v>
      </c>
    </row>
    <row r="12">
      <c r="I12">
        <v>718</v>
      </c>
      <c r="J12" t="str">
        <v>2008</v>
      </c>
      <c r="K12" t="str">
        <v>AN</v>
      </c>
      <c r="L12" t="str">
        <v>Linden11</v>
      </c>
      <c r="M12" t="str">
        <v>2</v>
      </c>
    </row>
    <row r="13">
      <c r="B13">
        <v>621</v>
      </c>
      <c r="C13" t="str">
        <v>111</v>
      </c>
      <c r="E13" t="str">
        <v>Adler12</v>
      </c>
      <c r="F13">
        <v>2</v>
      </c>
    </row>
    <row r="14">
      <c r="B14" t="str">
        <v>622</v>
      </c>
      <c r="C14" t="str">
        <v>503</v>
      </c>
      <c r="D14" t="str">
        <v>AN</v>
      </c>
      <c r="E14" t="str">
        <v>Noll10, Gruber5, Adler12</v>
      </c>
      <c r="F14">
        <v>3</v>
      </c>
      <c r="G14" t="str">
        <v/>
      </c>
      <c r="I14">
        <v>721</v>
      </c>
      <c r="J14" t="str">
        <v>2003</v>
      </c>
      <c r="K14" t="str">
        <v>AN</v>
      </c>
      <c r="L14" t="str">
        <v>Brand10</v>
      </c>
      <c r="M14">
        <v>2</v>
      </c>
    </row>
    <row r="15">
      <c r="B15">
        <v>623</v>
      </c>
      <c r="C15" t="str">
        <v>201</v>
      </c>
      <c r="E15" t="str">
        <v>Imhof</v>
      </c>
      <c r="F15" t="str">
        <v>3</v>
      </c>
      <c r="G15" t="str">
        <v>davon 1 Kind 2J</v>
      </c>
      <c r="I15">
        <v>722</v>
      </c>
      <c r="J15" t="str">
        <v>2006</v>
      </c>
      <c r="K15" t="str">
        <v>AB</v>
      </c>
      <c r="L15" t="str">
        <v>Sauer11</v>
      </c>
      <c r="M15">
        <v>2</v>
      </c>
    </row>
    <row r="16">
      <c r="B16">
        <v>624</v>
      </c>
      <c r="C16" t="str">
        <v>514</v>
      </c>
      <c r="E16" t="str">
        <v>Kluge3</v>
      </c>
      <c r="F16">
        <v>2</v>
      </c>
      <c r="I16">
        <v>723</v>
      </c>
      <c r="J16" t="str">
        <v>502</v>
      </c>
      <c r="L16" t="str">
        <v>Brand5</v>
      </c>
      <c r="M16">
        <v>2</v>
      </c>
    </row>
    <row r="17">
      <c r="B17">
        <v>625</v>
      </c>
      <c r="C17" t="str">
        <v>202</v>
      </c>
      <c r="E17" t="str">
        <v>Fr. Strauß</v>
      </c>
      <c r="F17">
        <v>1</v>
      </c>
      <c r="I17">
        <v>724</v>
      </c>
      <c r="J17" t="str">
        <v>215</v>
      </c>
      <c r="L17" t="str">
        <v>Moser9</v>
      </c>
      <c r="M17" t="str">
        <v>2</v>
      </c>
    </row>
    <row r="18">
      <c r="B18">
        <v>626</v>
      </c>
      <c r="C18" t="str">
        <v>2005</v>
      </c>
      <c r="D18" t="str">
        <v>AN</v>
      </c>
      <c r="E18" t="str">
        <v>Nagel10</v>
      </c>
      <c r="F18" t="str">
        <v>2</v>
      </c>
      <c r="I18">
        <v>725</v>
      </c>
      <c r="J18" t="str">
        <v>218</v>
      </c>
      <c r="L18" t="str">
        <v>Hahn10</v>
      </c>
      <c r="M18" t="str">
        <v>2</v>
      </c>
    </row>
    <row r="19">
      <c r="B19" t="str">
        <v xml:space="preserve"> </v>
      </c>
      <c r="I19" t="str">
        <v>726</v>
      </c>
      <c r="J19" t="str">
        <v>2009</v>
      </c>
      <c r="K19" t="str">
        <v>AN</v>
      </c>
      <c r="L19" t="str">
        <v>Storz12</v>
      </c>
      <c r="M19">
        <v>2</v>
      </c>
      <c r="N19" t="str">
        <v/>
      </c>
    </row>
    <row r="20">
      <c r="B20">
        <v>631</v>
      </c>
      <c r="C20" t="str">
        <v>402</v>
      </c>
      <c r="D20" t="str">
        <v>AN</v>
      </c>
      <c r="E20" t="str">
        <v>Ernst9</v>
      </c>
      <c r="F20">
        <v>3</v>
      </c>
      <c r="G20" t="str">
        <v>davon 1 Kind 0J</v>
      </c>
      <c r="I20" t="str">
        <v>727</v>
      </c>
      <c r="J20" t="str">
        <v>103,107</v>
      </c>
      <c r="L20" t="str">
        <v>Nagel, Pfeil12</v>
      </c>
      <c r="M20" t="str">
        <v>5</v>
      </c>
    </row>
    <row r="21">
      <c r="B21" t="str">
        <v>632</v>
      </c>
      <c r="C21" t="str">
        <v>205</v>
      </c>
      <c r="D21" t="str">
        <v>AN</v>
      </c>
      <c r="E21" t="str">
        <v>Gass5</v>
      </c>
      <c r="F21">
        <v>3</v>
      </c>
      <c r="I21">
        <v>728</v>
      </c>
      <c r="J21" t="str">
        <v>207,208,2002</v>
      </c>
      <c r="K21" t="str">
        <v>AB</v>
      </c>
      <c r="L21" t="str">
        <v>Moser2</v>
      </c>
      <c r="M21">
        <v>5</v>
      </c>
      <c r="N21" t="str">
        <v>zuvor 6 Pax</v>
      </c>
    </row>
    <row r="22">
      <c r="B22" t="str">
        <v>633</v>
      </c>
      <c r="C22" t="str">
        <v>219,509</v>
      </c>
      <c r="E22" t="str">
        <v>Iber, Timm9</v>
      </c>
      <c r="F22">
        <v>4</v>
      </c>
      <c r="I22">
        <v>729</v>
      </c>
      <c r="L22" t="str">
        <v>zu 728</v>
      </c>
    </row>
    <row r="23">
      <c r="B23">
        <v>634</v>
      </c>
      <c r="E23" t="str">
        <v>zu 633</v>
      </c>
      <c r="I23">
        <v>730</v>
      </c>
      <c r="J23" t="str">
        <v>118,119</v>
      </c>
      <c r="L23" t="str">
        <v>Gruber6, Eck13</v>
      </c>
      <c r="M23">
        <v>4</v>
      </c>
    </row>
    <row r="24">
      <c r="B24">
        <v>635</v>
      </c>
      <c r="C24" t="str">
        <v>512</v>
      </c>
      <c r="D24" t="str">
        <v>AB</v>
      </c>
      <c r="E24" t="str">
        <v>Iber4</v>
      </c>
      <c r="F24">
        <v>2</v>
      </c>
      <c r="I24">
        <v>731</v>
      </c>
      <c r="L24" t="str">
        <v>zu 730</v>
      </c>
    </row>
    <row r="25">
      <c r="B25">
        <v>636</v>
      </c>
      <c r="C25" t="str">
        <v>405</v>
      </c>
      <c r="D25" t="str">
        <v>AN</v>
      </c>
      <c r="E25" t="str">
        <v>Eck9</v>
      </c>
      <c r="F25">
        <v>2</v>
      </c>
      <c r="I25">
        <v>732</v>
      </c>
      <c r="J25" t="str">
        <v>116,117</v>
      </c>
      <c r="L25" t="str">
        <v>Dorn14</v>
      </c>
      <c r="M25">
        <v>4</v>
      </c>
    </row>
    <row r="26">
      <c r="B26" t="str">
        <v xml:space="preserve"> </v>
      </c>
      <c r="I26">
        <v>733</v>
      </c>
      <c r="L26" t="str">
        <v>zu 732</v>
      </c>
    </row>
    <row r="27">
      <c r="B27">
        <v>641</v>
      </c>
      <c r="C27" t="str">
        <v>109</v>
      </c>
      <c r="D27" t="str">
        <v>AB</v>
      </c>
      <c r="E27" t="str">
        <v>Rapp2</v>
      </c>
      <c r="F27">
        <v>2</v>
      </c>
      <c r="I27" t="str">
        <v xml:space="preserve"> </v>
      </c>
    </row>
    <row r="28">
      <c r="B28">
        <v>642</v>
      </c>
      <c r="C28" t="str">
        <v>501,2004</v>
      </c>
      <c r="D28" t="str">
        <v>AN</v>
      </c>
      <c r="E28" t="str">
        <v>Iber11</v>
      </c>
      <c r="F28">
        <v>3</v>
      </c>
      <c r="I28">
        <v>741</v>
      </c>
      <c r="J28" t="str">
        <v>104,203</v>
      </c>
      <c r="K28" t="str">
        <v>AB</v>
      </c>
      <c r="L28" t="str">
        <v>Hahn9, Eck8</v>
      </c>
      <c r="M28" t="str">
        <v>4</v>
      </c>
    </row>
    <row r="29">
      <c r="B29">
        <v>643</v>
      </c>
      <c r="C29" t="str">
        <v>404,407</v>
      </c>
      <c r="E29" t="str">
        <v>Dorn4, Noll7</v>
      </c>
      <c r="F29">
        <v>4</v>
      </c>
      <c r="G29" t="str">
        <v/>
      </c>
      <c r="I29">
        <v>742</v>
      </c>
      <c r="J29" t="str">
        <v>507</v>
      </c>
      <c r="K29" t="str">
        <v>AB</v>
      </c>
      <c r="L29" t="str">
        <v>Gass12, Gruber4</v>
      </c>
      <c r="M29">
        <v>3</v>
      </c>
      <c r="N29" t="str">
        <v>davon 1 Kind 3J</v>
      </c>
    </row>
    <row r="30">
      <c r="B30">
        <v>644</v>
      </c>
      <c r="E30" t="str">
        <v>zu 643</v>
      </c>
      <c r="I30">
        <v>743</v>
      </c>
      <c r="J30" t="str">
        <v>216,301</v>
      </c>
      <c r="K30" t="str">
        <v>AN</v>
      </c>
      <c r="L30" t="str">
        <v>Gruber7</v>
      </c>
      <c r="M30">
        <v>4</v>
      </c>
    </row>
    <row r="31">
      <c r="B31">
        <v>645</v>
      </c>
      <c r="C31" t="str">
        <v>204</v>
      </c>
      <c r="E31" t="str">
        <v>Frei</v>
      </c>
      <c r="F31">
        <v>2</v>
      </c>
      <c r="G31" t="str">
        <v>Herr Gluten</v>
      </c>
      <c r="I31">
        <v>744</v>
      </c>
    </row>
    <row r="32">
      <c r="B32">
        <v>646</v>
      </c>
      <c r="C32" t="str">
        <v>102</v>
      </c>
      <c r="D32" t="str">
        <v>AB</v>
      </c>
      <c r="E32" t="str">
        <v>Imhof</v>
      </c>
      <c r="F32">
        <v>2</v>
      </c>
      <c r="I32">
        <v>745</v>
      </c>
    </row>
    <row r="33">
      <c r="B33" t="str">
        <v xml:space="preserve"> </v>
      </c>
      <c r="I33">
        <v>746</v>
      </c>
      <c r="J33" t="str">
        <v>517</v>
      </c>
      <c r="K33" t="str">
        <v>AN</v>
      </c>
      <c r="L33" t="str">
        <v>Imhof11</v>
      </c>
      <c r="M33" t="str">
        <v>3</v>
      </c>
      <c r="N33" t="str">
        <v>davon 1 Baby 0J</v>
      </c>
    </row>
    <row r="34">
      <c r="B34">
        <v>651</v>
      </c>
      <c r="C34" t="str">
        <v>505</v>
      </c>
      <c r="D34" t="str">
        <v>AN</v>
      </c>
      <c r="E34" t="str">
        <v>Brand</v>
      </c>
      <c r="F34">
        <v>2</v>
      </c>
      <c r="G34" t="str">
        <v>7 Nächte im Haus</v>
      </c>
      <c r="I34">
        <v>747</v>
      </c>
      <c r="J34" t="str">
        <v>406</v>
      </c>
      <c r="K34" t="str">
        <v>AN/AB</v>
      </c>
      <c r="L34" t="str">
        <v>Frei9</v>
      </c>
      <c r="M34" t="str">
        <v>2</v>
      </c>
    </row>
    <row r="35">
      <c r="B35">
        <v>652</v>
      </c>
      <c r="C35" t="str">
        <v>110</v>
      </c>
      <c r="E35" t="str">
        <v>Storz14</v>
      </c>
      <c r="F35">
        <v>2</v>
      </c>
      <c r="I35">
        <v>748</v>
      </c>
      <c r="J35" t="str">
        <v>513</v>
      </c>
      <c r="K35" t="str">
        <v>AB</v>
      </c>
      <c r="L35" t="str">
        <v>Linden, Iber14</v>
      </c>
      <c r="M35" t="str">
        <v>2</v>
      </c>
      <c r="N35" t="str">
        <v>Dame schwanger</v>
      </c>
    </row>
    <row r="36">
      <c r="B36">
        <v>653</v>
      </c>
      <c r="C36" t="str">
        <v>515</v>
      </c>
      <c r="E36" t="str">
        <v>Eck14, Brand6</v>
      </c>
      <c r="F36">
        <v>2</v>
      </c>
      <c r="G36" t="str">
        <v>Allergie</v>
      </c>
      <c r="I36">
        <v>749</v>
      </c>
      <c r="J36" t="str">
        <v>EXT</v>
      </c>
      <c r="L36" t="str">
        <v>Amann4</v>
      </c>
      <c r="M36" t="str">
        <v>3</v>
      </c>
    </row>
    <row r="37">
      <c r="B37">
        <v>654</v>
      </c>
      <c r="C37" t="str">
        <v>101</v>
      </c>
      <c r="D37" t="str">
        <v>AN</v>
      </c>
      <c r="E37" t="str">
        <v>Timm13</v>
      </c>
      <c r="F37">
        <v>2</v>
      </c>
      <c r="I37">
        <v>750</v>
      </c>
      <c r="N37" t="str">
        <v/>
      </c>
    </row>
    <row r="38">
      <c r="B38" t="str">
        <v xml:space="preserve"> </v>
      </c>
      <c r="I38" t="str">
        <v xml:space="preserve"> </v>
      </c>
    </row>
    <row r="39">
      <c r="B39">
        <v>661</v>
      </c>
      <c r="C39" t="str">
        <v>506</v>
      </c>
      <c r="D39" t="str">
        <v>AB</v>
      </c>
      <c r="E39" t="str">
        <v>Brand14, Amann7</v>
      </c>
      <c r="F39">
        <v>2</v>
      </c>
      <c r="I39">
        <v>801</v>
      </c>
      <c r="J39" t="str">
        <v>206,2001</v>
      </c>
      <c r="N39" t="str">
        <v>bis dato keine Anreise</v>
      </c>
    </row>
    <row r="40">
      <c r="B40">
        <v>662</v>
      </c>
      <c r="C40" t="str">
        <v>121</v>
      </c>
      <c r="D40" t="str">
        <v>AN</v>
      </c>
      <c r="E40" t="str">
        <v>Amann12</v>
      </c>
      <c r="F40">
        <v>2</v>
      </c>
      <c r="I40">
        <v>802</v>
      </c>
    </row>
    <row r="41">
      <c r="B41">
        <v>663</v>
      </c>
      <c r="C41" t="str">
        <v>106</v>
      </c>
      <c r="D41" t="str">
        <v>AN</v>
      </c>
      <c r="E41" t="str">
        <v>Pfeil2</v>
      </c>
      <c r="F41">
        <v>2</v>
      </c>
      <c r="I41">
        <v>803</v>
      </c>
    </row>
    <row r="42">
      <c r="B42" t="str">
        <v>664</v>
      </c>
      <c r="C42" t="str">
        <v>516</v>
      </c>
      <c r="E42" t="str">
        <v>Dorn12</v>
      </c>
      <c r="F42" t="str">
        <v>2</v>
      </c>
      <c r="I42" t="str">
        <v>STAMM</v>
      </c>
    </row>
    <row r="43">
      <c r="B43" t="str">
        <v xml:space="preserve"> </v>
      </c>
    </row>
    <row r="44">
      <c r="B44">
        <v>671</v>
      </c>
      <c r="C44" t="str">
        <v>2010</v>
      </c>
      <c r="E44" t="str">
        <v>Dietz</v>
      </c>
      <c r="F44" t="str">
        <v>2</v>
      </c>
      <c r="J44">
        <f>COUNTA(J5:J42)</f>
        <v>26</v>
      </c>
      <c r="L44" t="str">
        <v>Summe 700er</v>
      </c>
      <c r="M44">
        <f>SUM(M5+M6+M7+M8+M9+M10+M11+M12+M14+M15+M16+M17+M18+M20+M19+M21+M22+M23+M24+M25+M26+M28+M29+M30+M31+M32+M33+M34+M35+M36+M37+M39+M40+M41+M42)</f>
        <v>68</v>
      </c>
      <c r="N44" t="str">
        <v xml:space="preserve"> </v>
      </c>
    </row>
    <row r="45">
      <c r="B45">
        <v>672</v>
      </c>
      <c r="C45" t="str">
        <v>510</v>
      </c>
      <c r="D45" t="str">
        <v>AN</v>
      </c>
      <c r="E45" t="str">
        <v>Cramer14</v>
      </c>
      <c r="F45">
        <v>2</v>
      </c>
      <c r="I45" t="str">
        <v xml:space="preserve"> </v>
      </c>
      <c r="J45">
        <f>SUM(J44+C49)</f>
        <v>60</v>
      </c>
      <c r="L45" t="str">
        <v>Summe Cramer5</v>
      </c>
      <c r="M45">
        <f>SUM(M44+F49)</f>
        <v>148</v>
      </c>
      <c r="N45" t="str">
        <v xml:space="preserve"> </v>
      </c>
    </row>
    <row r="46">
      <c r="B46">
        <v>673</v>
      </c>
      <c r="C46" t="str">
        <v>302</v>
      </c>
      <c r="D46" t="str">
        <v>AN</v>
      </c>
      <c r="E46" t="str">
        <v>Noll9</v>
      </c>
      <c r="F46">
        <v>2</v>
      </c>
      <c r="L46" t="str">
        <v>Day Spa</v>
      </c>
    </row>
    <row r="47">
      <c r="B47">
        <v>674</v>
      </c>
      <c r="C47" t="str">
        <v>120</v>
      </c>
      <c r="D47" t="str">
        <v>AN</v>
      </c>
      <c r="E47" t="str">
        <v>Mikosch-Lüttig</v>
      </c>
      <c r="F47">
        <v>2</v>
      </c>
      <c r="L47" t="str">
        <v>Fr. Linden9</v>
      </c>
      <c r="M47" t="str">
        <v>1</v>
      </c>
    </row>
    <row r="48">
      <c r="L48" t="str">
        <v>Amann13</v>
      </c>
      <c r="M48" t="str">
        <v>2</v>
      </c>
      <c r="N48" t="str">
        <v>Allergie: glutenfrei</v>
      </c>
    </row>
    <row r="49">
      <c r="B49" t="str">
        <v xml:space="preserve"> </v>
      </c>
      <c r="C49">
        <f>COUNTA(C5:C47)</f>
        <v>34</v>
      </c>
      <c r="E49" t="str">
        <v>Summe 600er</v>
      </c>
      <c r="F49">
        <f>SUM(F5+F6+F7+F8+F9+F10+F11+F13+F14+F15+F16+F17+F18+F20+F21+F22+F23+F24+F25+F27+F28+F29+F30+F31+F32+F34+F35++F36+F37+F39+F40+F41+F42+F44+F45+F46+F47)</f>
        <v>80</v>
      </c>
      <c r="L49" t="str">
        <v>Moser5</v>
      </c>
      <c r="M49" t="str">
        <v>2</v>
      </c>
      <c r="N49" t="str">
        <v>Nuss- &amp; Knoblauchunverträglichkeit</v>
      </c>
    </row>
    <row r="50">
      <c r="E50" t="str">
        <v>Frei4 &amp; Lang5</v>
      </c>
      <c r="L50" t="str">
        <v>Ernst</v>
      </c>
      <c r="M50" t="str">
        <v>3</v>
      </c>
    </row>
    <row r="51">
      <c r="B51">
        <v>718</v>
      </c>
      <c r="C51" t="str">
        <v>2008</v>
      </c>
      <c r="D51" t="str">
        <v>AN</v>
      </c>
      <c r="E51" t="str">
        <v>Linden11</v>
      </c>
      <c r="F51" t="str">
        <v>2</v>
      </c>
      <c r="G51" t="str">
        <v>Herr am 10.07. Geb. (ohne Gruß)</v>
      </c>
      <c r="L51" t="str">
        <v>Jost3</v>
      </c>
      <c r="M51" t="str">
        <v>4</v>
      </c>
    </row>
    <row r="53">
      <c r="B53">
        <v>722</v>
      </c>
      <c r="C53" t="str">
        <v>2006</v>
      </c>
      <c r="D53" t="str">
        <v>AB</v>
      </c>
      <c r="E53" t="str">
        <v>Sauer11</v>
      </c>
      <c r="F53">
        <v>2</v>
      </c>
      <c r="G53" t="str">
        <v>Dame am 11.07. Geb. (ohne Gruß)</v>
      </c>
    </row>
    <row r="54">
      <c r="B54" t="str">
        <v>732</v>
      </c>
      <c r="C54" t="str">
        <v>116,117</v>
      </c>
      <c r="E54" t="str">
        <v>Dorn14</v>
      </c>
      <c r="F54">
        <v>4</v>
      </c>
      <c r="G54" t="str">
        <v>Geburtstag</v>
      </c>
    </row>
    <row r="56">
      <c r="L56" t="str">
        <v>Early Check In</v>
      </c>
    </row>
    <row r="57">
      <c r="J57" t="str">
        <v>102</v>
      </c>
      <c r="L57" t="str">
        <v>Noll2</v>
      </c>
      <c r="M57" t="str">
        <v>2</v>
      </c>
    </row>
    <row r="58">
      <c r="J58" t="str">
        <v>2002</v>
      </c>
      <c r="L58" t="str">
        <v>Gerngroß</v>
      </c>
      <c r="M58" t="str">
        <v>2</v>
      </c>
      <c r="N58" t="str">
        <v/>
      </c>
    </row>
    <row r="63">
      <c r="E63" t="str">
        <v>Änderungen</v>
      </c>
    </row>
    <row r="64">
      <c r="B64" t="str">
        <v>726</v>
      </c>
      <c r="C64" t="str">
        <v>2009</v>
      </c>
      <c r="D64" t="str">
        <v>AN</v>
      </c>
      <c r="E64" t="str">
        <v>Storz12</v>
      </c>
      <c r="F64">
        <v>2</v>
      </c>
      <c r="G64" t="str">
        <v/>
      </c>
    </row>
  </sheetData>
  <pageMargins left="0.25" right="0.25" top="0.75" bottom="0.75" header="0.3" footer="0.3"/>
  <ignoredErrors>
    <ignoredError numberStoredAsText="1" sqref="A1:O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 rightToLeft="0"/>
  </sheetViews>
  <sheetData>
    <row r="1">
      <c r="A1" t="str">
        <v>Tisch</v>
      </c>
      <c r="B1" t="str">
        <v>Zimmer</v>
      </c>
      <c r="C1" t="str">
        <v>Status</v>
      </c>
      <c r="D1" t="str">
        <v>Gastname</v>
      </c>
      <c r="E1" t="str">
        <v>Pax</v>
      </c>
      <c r="F1" t="str">
        <v>Extras</v>
      </c>
    </row>
    <row r="2">
      <c r="A2">
        <v>642</v>
      </c>
      <c r="B2" t="str">
        <v>101</v>
      </c>
      <c r="D2" t="str">
        <v>Storz2, Jost6</v>
      </c>
      <c r="E2">
        <v>2</v>
      </c>
      <c r="F2" t="str">
        <v>Allergie: Laktose</v>
      </c>
    </row>
    <row r="3">
      <c r="A3">
        <v>646</v>
      </c>
      <c r="B3" t="str">
        <v>102</v>
      </c>
      <c r="D3" t="str">
        <v>Imhof</v>
      </c>
      <c r="E3">
        <v>2</v>
      </c>
    </row>
    <row r="4">
      <c r="A4" t="str">
        <v>727</v>
      </c>
      <c r="B4" t="str">
        <v>103,107</v>
      </c>
      <c r="D4" t="str">
        <v>Nagel, Pfeil12</v>
      </c>
      <c r="E4" t="str">
        <v>4</v>
      </c>
      <c r="F4" t="str">
        <v>ab dem 09.07. 5 Personen</v>
      </c>
    </row>
    <row r="5">
      <c r="A5">
        <v>741</v>
      </c>
      <c r="B5" t="str">
        <v>104,203</v>
      </c>
      <c r="D5" t="str">
        <v>Hahn9, Eck8</v>
      </c>
      <c r="E5" t="str">
        <v>4</v>
      </c>
    </row>
    <row r="6">
      <c r="A6">
        <v>611</v>
      </c>
      <c r="B6" t="str">
        <v>105</v>
      </c>
      <c r="D6" t="str">
        <v>Imhof</v>
      </c>
      <c r="E6">
        <v>3</v>
      </c>
      <c r="F6" t="str">
        <v>1x Rollstuhl, davon 1 Kind 4J</v>
      </c>
    </row>
    <row r="7">
      <c r="A7" t="str">
        <v>726</v>
      </c>
      <c r="B7" t="str">
        <v>106</v>
      </c>
      <c r="D7" t="str">
        <v>Ostheim8</v>
      </c>
      <c r="E7">
        <v>3</v>
      </c>
      <c r="F7" t="str">
        <v>davon 2 Kinder 13, 16J</v>
      </c>
    </row>
    <row r="8">
      <c r="A8">
        <v>715</v>
      </c>
      <c r="B8" t="str">
        <v>108</v>
      </c>
      <c r="D8" t="str">
        <v>Thoma2, Rapp7</v>
      </c>
      <c r="E8">
        <v>2</v>
      </c>
    </row>
    <row r="9">
      <c r="A9">
        <v>641</v>
      </c>
      <c r="B9" t="str">
        <v>109</v>
      </c>
      <c r="D9" t="str">
        <v>Rapp2</v>
      </c>
      <c r="E9">
        <v>2</v>
      </c>
    </row>
    <row r="10">
      <c r="A10">
        <v>652</v>
      </c>
      <c r="B10" t="str">
        <v>110</v>
      </c>
      <c r="D10" t="str">
        <v>Storz14</v>
      </c>
      <c r="E10">
        <v>2</v>
      </c>
    </row>
    <row r="11">
      <c r="A11" t="str">
        <v>622</v>
      </c>
      <c r="B11" t="str">
        <v>111</v>
      </c>
      <c r="D11" t="str">
        <v>Nagel7</v>
      </c>
      <c r="E11">
        <v>2</v>
      </c>
    </row>
    <row r="12">
      <c r="A12">
        <v>672</v>
      </c>
      <c r="B12" t="str">
        <v>112</v>
      </c>
      <c r="D12" t="str">
        <v>Fr. Imhof5</v>
      </c>
      <c r="E12">
        <v>1</v>
      </c>
      <c r="F12" t="str">
        <v/>
      </c>
    </row>
    <row r="13">
      <c r="A13">
        <v>612</v>
      </c>
      <c r="B13" t="str">
        <v>113</v>
      </c>
      <c r="D13" t="str">
        <v>Timm12</v>
      </c>
      <c r="E13" t="str">
        <v>4</v>
      </c>
      <c r="F13" t="str">
        <v>davon 2 Kinder 7, 11J</v>
      </c>
    </row>
    <row r="14">
      <c r="A14">
        <v>634</v>
      </c>
      <c r="B14" t="str">
        <v>116</v>
      </c>
      <c r="D14" t="str">
        <v>Frei9-Figliola</v>
      </c>
      <c r="E14">
        <v>2</v>
      </c>
      <c r="F14" t="str">
        <v>Dame Hasel- und Walnussallergie</v>
      </c>
    </row>
    <row r="15">
      <c r="A15">
        <v>663</v>
      </c>
      <c r="B15" t="str">
        <v>117</v>
      </c>
      <c r="D15" t="str">
        <v>Dorn5</v>
      </c>
      <c r="E15">
        <v>2</v>
      </c>
      <c r="F15" t="str">
        <v>Umzug am 09.07. in Zimmer 302</v>
      </c>
    </row>
    <row r="16">
      <c r="A16">
        <v>730</v>
      </c>
      <c r="B16" t="str">
        <v>118,119</v>
      </c>
      <c r="D16" t="str">
        <v>Gruber6, Eck13</v>
      </c>
      <c r="E16">
        <v>4</v>
      </c>
    </row>
    <row r="17">
      <c r="A17">
        <v>711</v>
      </c>
      <c r="B17" t="str">
        <v>120</v>
      </c>
      <c r="D17" t="str">
        <v>Amann10</v>
      </c>
      <c r="E17">
        <v>2</v>
      </c>
    </row>
    <row r="18">
      <c r="A18">
        <v>654</v>
      </c>
      <c r="B18" t="str">
        <v>121</v>
      </c>
      <c r="D18" t="str">
        <v>Moser7</v>
      </c>
      <c r="E18">
        <v>2</v>
      </c>
    </row>
    <row r="19">
      <c r="A19">
        <v>713</v>
      </c>
      <c r="B19" t="str">
        <v>201</v>
      </c>
      <c r="C19" t="str">
        <v>AB</v>
      </c>
      <c r="D19" t="str">
        <v>Storz10</v>
      </c>
      <c r="E19">
        <v>3</v>
      </c>
      <c r="F19" t="str">
        <v>Allergie / mit Kind</v>
      </c>
    </row>
    <row r="20">
      <c r="A20">
        <v>631</v>
      </c>
      <c r="B20" t="str">
        <v>202</v>
      </c>
      <c r="C20" t="str">
        <v>AB</v>
      </c>
      <c r="D20" t="str">
        <v>Kern3</v>
      </c>
      <c r="E20">
        <v>2</v>
      </c>
    </row>
    <row r="21">
      <c r="A21">
        <v>645</v>
      </c>
      <c r="B21" t="str">
        <v>204</v>
      </c>
      <c r="C21" t="str">
        <v>AB</v>
      </c>
      <c r="D21" t="str">
        <v>Frei9</v>
      </c>
      <c r="E21">
        <v>2</v>
      </c>
    </row>
    <row r="22">
      <c r="A22">
        <v>746</v>
      </c>
      <c r="B22" t="str">
        <v>205</v>
      </c>
      <c r="D22" t="str">
        <v>Rapp14</v>
      </c>
      <c r="E22">
        <v>3</v>
      </c>
      <c r="F22" t="str">
        <v>davon 1 Kind 1J</v>
      </c>
    </row>
    <row r="23">
      <c r="A23">
        <v>616</v>
      </c>
      <c r="B23" t="str">
        <v>206</v>
      </c>
      <c r="C23" t="str">
        <v>AB</v>
      </c>
      <c r="D23" t="str">
        <v>Imhof13, Kern11</v>
      </c>
      <c r="E23" t="str">
        <v>2</v>
      </c>
      <c r="F23" t="str">
        <v/>
      </c>
    </row>
    <row r="24">
      <c r="A24">
        <v>728</v>
      </c>
      <c r="B24" t="str">
        <v>207,208,2002,2009</v>
      </c>
      <c r="D24" t="str">
        <v>Moser2</v>
      </c>
      <c r="E24">
        <v>6</v>
      </c>
    </row>
    <row r="25">
      <c r="A25">
        <v>733</v>
      </c>
      <c r="B25" t="str">
        <v>215</v>
      </c>
      <c r="D25" t="str">
        <v>Noll12</v>
      </c>
      <c r="E25" t="str">
        <v>2</v>
      </c>
      <c r="F25" t="str">
        <v>Herr Laktose</v>
      </c>
    </row>
    <row r="26">
      <c r="A26">
        <v>636</v>
      </c>
      <c r="B26" t="str">
        <v>216</v>
      </c>
      <c r="C26" t="str">
        <v>AN</v>
      </c>
      <c r="D26" t="str">
        <v>Jost14</v>
      </c>
      <c r="E26">
        <v>2</v>
      </c>
      <c r="F26" t="str">
        <v>1x Vegi, Hochzeitsreise</v>
      </c>
    </row>
    <row r="27">
      <c r="A27">
        <v>671</v>
      </c>
      <c r="B27" t="str">
        <v>217</v>
      </c>
      <c r="C27" t="str">
        <v>AB</v>
      </c>
      <c r="D27" t="str">
        <v>Gruber12</v>
      </c>
      <c r="E27">
        <v>2</v>
      </c>
      <c r="F27" t="str">
        <v>CLD am 07.07.</v>
      </c>
    </row>
    <row r="28">
      <c r="A28">
        <v>617</v>
      </c>
      <c r="B28" t="str">
        <v>218</v>
      </c>
      <c r="C28" t="str">
        <v>AB</v>
      </c>
      <c r="D28" t="str">
        <v>Dorn6</v>
      </c>
      <c r="E28" t="str">
        <v>2</v>
      </c>
      <c r="F28" t="str">
        <v>HZ-Tag am 07.07.</v>
      </c>
    </row>
    <row r="29">
      <c r="A29" t="str">
        <v>633</v>
      </c>
      <c r="B29" t="str">
        <v>219</v>
      </c>
      <c r="D29" t="str">
        <v>Iber</v>
      </c>
      <c r="E29">
        <v>2</v>
      </c>
      <c r="F29" t="str">
        <v xml:space="preserve">vom 09.07. in Summe 4 Pax </v>
      </c>
    </row>
    <row r="30">
      <c r="A30">
        <v>674</v>
      </c>
      <c r="B30" t="str">
        <v>301</v>
      </c>
      <c r="D30" t="str">
        <v>Quandt5</v>
      </c>
      <c r="E30">
        <v>2</v>
      </c>
    </row>
    <row r="31">
      <c r="A31">
        <v>621</v>
      </c>
      <c r="B31" t="str">
        <v>302</v>
      </c>
      <c r="D31" t="str">
        <v>Eck5, Timm6</v>
      </c>
      <c r="E31">
        <v>2</v>
      </c>
    </row>
    <row r="32">
      <c r="A32" t="str">
        <v>714</v>
      </c>
      <c r="B32" t="str">
        <v>307</v>
      </c>
      <c r="D32" t="str">
        <v>Dr. Adler9, Dr. Clauss10</v>
      </c>
      <c r="E32">
        <v>3</v>
      </c>
      <c r="F32" t="str">
        <v>davon 1 Kind 10J</v>
      </c>
    </row>
    <row r="33">
      <c r="A33">
        <v>722</v>
      </c>
      <c r="B33" t="str">
        <v>401</v>
      </c>
      <c r="D33" t="str">
        <v>Cramer6, Moser10</v>
      </c>
      <c r="E33">
        <v>2</v>
      </c>
    </row>
    <row r="34">
      <c r="A34">
        <v>721</v>
      </c>
      <c r="B34" t="str">
        <v>402</v>
      </c>
      <c r="D34" t="str">
        <v>Gruber11, Adler8</v>
      </c>
      <c r="E34">
        <v>2</v>
      </c>
    </row>
    <row r="35">
      <c r="A35">
        <v>717</v>
      </c>
      <c r="B35" t="str">
        <v>403</v>
      </c>
      <c r="D35" t="str">
        <v>Adler14</v>
      </c>
      <c r="E35" t="str">
        <v>2</v>
      </c>
    </row>
    <row r="36">
      <c r="A36">
        <v>643</v>
      </c>
      <c r="B36" t="str">
        <v>404,407</v>
      </c>
      <c r="D36" t="str">
        <v>Dorn4, Noll7</v>
      </c>
      <c r="E36">
        <v>4</v>
      </c>
      <c r="F36" t="str">
        <v/>
      </c>
    </row>
    <row r="37">
      <c r="A37">
        <v>750</v>
      </c>
      <c r="B37" t="str">
        <v>405</v>
      </c>
      <c r="C37" t="str">
        <v>AN/AB</v>
      </c>
      <c r="D37" t="str">
        <v>Adler6, Gruber9</v>
      </c>
      <c r="E37" t="str">
        <v>2</v>
      </c>
    </row>
    <row r="38">
      <c r="A38">
        <v>747</v>
      </c>
      <c r="B38" t="str">
        <v>406</v>
      </c>
      <c r="C38" t="str">
        <v>AB</v>
      </c>
      <c r="D38" t="str">
        <v>Pfeil6</v>
      </c>
      <c r="E38" t="str">
        <v>2</v>
      </c>
    </row>
    <row r="39">
      <c r="A39">
        <v>662</v>
      </c>
      <c r="B39" t="str">
        <v>501</v>
      </c>
      <c r="D39" t="str">
        <v>Moser3</v>
      </c>
      <c r="E39">
        <v>2</v>
      </c>
    </row>
    <row r="40">
      <c r="A40">
        <v>623</v>
      </c>
      <c r="B40" t="str">
        <v>502</v>
      </c>
      <c r="C40" t="str">
        <v>AB</v>
      </c>
      <c r="D40" t="str">
        <v>Merz7</v>
      </c>
      <c r="E40" t="str">
        <v>2</v>
      </c>
      <c r="F40" t="str">
        <v>CLD am 07.07.</v>
      </c>
    </row>
    <row r="41">
      <c r="A41">
        <v>625</v>
      </c>
      <c r="B41" t="str">
        <v>503</v>
      </c>
      <c r="C41" t="str">
        <v>AB</v>
      </c>
      <c r="D41" t="str">
        <v>Amann14</v>
      </c>
      <c r="E41">
        <v>2</v>
      </c>
    </row>
    <row r="42">
      <c r="A42">
        <v>716</v>
      </c>
      <c r="B42" t="str">
        <v>504</v>
      </c>
      <c r="D42" t="str">
        <v>Jost8</v>
      </c>
      <c r="E42">
        <v>2</v>
      </c>
    </row>
    <row r="43">
      <c r="A43">
        <v>673</v>
      </c>
      <c r="B43" t="str">
        <v>505</v>
      </c>
      <c r="D43" t="str">
        <v>Jost12</v>
      </c>
      <c r="E43">
        <v>2</v>
      </c>
    </row>
    <row r="44">
      <c r="A44">
        <v>661</v>
      </c>
      <c r="B44" t="str">
        <v>506</v>
      </c>
      <c r="D44" t="str">
        <v>Brand14, Amann7</v>
      </c>
      <c r="E44">
        <v>2</v>
      </c>
    </row>
    <row r="45">
      <c r="A45">
        <v>742</v>
      </c>
      <c r="B45" t="str">
        <v>507</v>
      </c>
      <c r="D45" t="str">
        <v>Gass12, Gruber4</v>
      </c>
      <c r="E45">
        <v>3</v>
      </c>
      <c r="F45" t="str">
        <v>davon 1 Kind 3J</v>
      </c>
    </row>
    <row r="46">
      <c r="A46" t="str">
        <v>632</v>
      </c>
      <c r="B46" t="str">
        <v>508</v>
      </c>
      <c r="D46" t="str">
        <v>Di Moser8, Moser13, Eck3</v>
      </c>
      <c r="E46">
        <v>3</v>
      </c>
      <c r="F46" t="str">
        <v>zwei Personen Vegan</v>
      </c>
    </row>
    <row r="47">
      <c r="A47">
        <v>724</v>
      </c>
      <c r="B47" t="str">
        <v>509</v>
      </c>
      <c r="D47" t="str">
        <v>Brand7, Clauss5</v>
      </c>
      <c r="E47" t="str">
        <v>2</v>
      </c>
    </row>
    <row r="48">
      <c r="A48">
        <v>712</v>
      </c>
      <c r="B48" t="str">
        <v>510</v>
      </c>
      <c r="D48" t="str">
        <v>Dietz9</v>
      </c>
      <c r="E48">
        <v>2</v>
      </c>
    </row>
    <row r="49">
      <c r="A49">
        <v>723</v>
      </c>
      <c r="B49" t="str">
        <v>511</v>
      </c>
      <c r="C49" t="str">
        <v>AB</v>
      </c>
      <c r="D49" t="str">
        <v>Jost5</v>
      </c>
      <c r="E49">
        <v>2</v>
      </c>
      <c r="F49" t="str">
        <v>Aktuell nur ÜN/FS</v>
      </c>
    </row>
    <row r="50">
      <c r="A50">
        <v>635</v>
      </c>
      <c r="B50" t="str">
        <v>512</v>
      </c>
      <c r="C50" t="str">
        <v>AN</v>
      </c>
      <c r="D50" t="str">
        <v>Iber4</v>
      </c>
      <c r="E50">
        <v>2</v>
      </c>
    </row>
    <row r="51">
      <c r="A51">
        <v>725</v>
      </c>
      <c r="B51" t="str">
        <v>513</v>
      </c>
      <c r="C51" t="str">
        <v>AB</v>
      </c>
      <c r="D51" t="str">
        <v>Salcone-Ernst12</v>
      </c>
      <c r="E51" t="str">
        <v>2</v>
      </c>
    </row>
    <row r="52">
      <c r="A52">
        <v>615</v>
      </c>
      <c r="B52" t="str">
        <v>514</v>
      </c>
      <c r="C52" t="str">
        <v>AN</v>
      </c>
      <c r="D52" t="str">
        <v>Lang6</v>
      </c>
      <c r="E52">
        <v>2</v>
      </c>
    </row>
    <row r="53">
      <c r="A53">
        <v>653</v>
      </c>
      <c r="B53" t="str">
        <v>515</v>
      </c>
      <c r="D53" t="str">
        <v>Eck14, Brand6</v>
      </c>
      <c r="E53">
        <v>2</v>
      </c>
      <c r="F53" t="str">
        <v>Allergie</v>
      </c>
    </row>
    <row r="54">
      <c r="A54" t="str">
        <v>664</v>
      </c>
      <c r="B54" t="str">
        <v>516</v>
      </c>
      <c r="C54" t="str">
        <v>AN</v>
      </c>
      <c r="D54" t="str">
        <v>Dorn12</v>
      </c>
      <c r="E54" t="str">
        <v>2</v>
      </c>
      <c r="F54" t="str">
        <v>10 Nächte im Haus</v>
      </c>
    </row>
    <row r="55">
      <c r="A55">
        <v>651</v>
      </c>
      <c r="B55" t="str">
        <v>517</v>
      </c>
      <c r="D55" t="str">
        <v>Rapp11</v>
      </c>
      <c r="E55">
        <v>2</v>
      </c>
    </row>
    <row r="56">
      <c r="A56">
        <v>732</v>
      </c>
      <c r="B56" t="str">
        <v>518</v>
      </c>
      <c r="D56" t="str">
        <v>Ernst4, Jost2</v>
      </c>
      <c r="E56" t="str">
        <v>2</v>
      </c>
    </row>
    <row r="57">
      <c r="A57">
        <v>626</v>
      </c>
      <c r="B57" t="str">
        <v>2001</v>
      </c>
      <c r="C57" t="str">
        <v>AN</v>
      </c>
      <c r="D57" t="str">
        <v>Kern6</v>
      </c>
      <c r="E57">
        <v>2</v>
      </c>
    </row>
    <row r="58">
      <c r="A58">
        <v>614</v>
      </c>
      <c r="B58" t="str">
        <v>2003</v>
      </c>
      <c r="C58" t="str">
        <v>AN</v>
      </c>
      <c r="D58" t="str">
        <v>Gass2, Dietz5</v>
      </c>
      <c r="E58">
        <v>2</v>
      </c>
    </row>
    <row r="59">
      <c r="A59">
        <v>749</v>
      </c>
      <c r="B59" t="str">
        <v>2004</v>
      </c>
      <c r="C59" t="str">
        <v>AB</v>
      </c>
      <c r="D59" t="str">
        <v>Merz12, Clauss11</v>
      </c>
      <c r="E59" t="str">
        <v>2</v>
      </c>
    </row>
    <row r="60">
      <c r="A60">
        <v>743</v>
      </c>
      <c r="B60" t="str">
        <v>2005,2008</v>
      </c>
      <c r="D60" t="str">
        <v>Eck4</v>
      </c>
      <c r="E60">
        <v>4</v>
      </c>
    </row>
    <row r="61">
      <c r="A61">
        <v>624</v>
      </c>
      <c r="B61" t="str">
        <v>2006</v>
      </c>
      <c r="D61" t="str">
        <v>Cramer8</v>
      </c>
      <c r="E61">
        <v>2</v>
      </c>
      <c r="F61" t="str">
        <v xml:space="preserve">Dame schwanger </v>
      </c>
    </row>
    <row r="62">
      <c r="A62">
        <v>748</v>
      </c>
      <c r="B62" t="str">
        <v>2007</v>
      </c>
      <c r="C62" t="str">
        <v>AN/AB</v>
      </c>
      <c r="D62" t="str">
        <v>Kluge6</v>
      </c>
      <c r="E62" t="str">
        <v>2</v>
      </c>
    </row>
    <row r="63">
      <c r="A63">
        <v>718</v>
      </c>
      <c r="B63" t="str">
        <v>2010</v>
      </c>
      <c r="D63" t="str">
        <v>Fr. Thoma14</v>
      </c>
      <c r="E63" t="str">
        <v>1</v>
      </c>
    </row>
    <row r="64">
      <c r="A64">
        <v>745</v>
      </c>
      <c r="B64" t="str">
        <v>EXT</v>
      </c>
      <c r="D64" t="str">
        <v>Gruber2</v>
      </c>
      <c r="E64" t="str">
        <v>2</v>
      </c>
    </row>
  </sheetData>
  <pageMargins left="0.7" right="0.7" top="0.75" bottom="0.75" header="0.3" footer="0.3"/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Tischplan</vt:lpstr>
      <vt:lpstr>Sortierung Zimmer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2024-12-03T06:21:18Z</dcterms:created>
  <dcterms:modified xsi:type="dcterms:W3CDTF">2026-07-09T08:55:32Z</dcterms:modified>
  <cp:lastModifiedBy>Lukas Hartge | PANORAMA  Allgäu Spa Resort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0x0101007C0EB2B128561B4E8194F909DAE7612E</vt:lpwstr>
  </property>
</Properties>
</file>