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S:\Verwaltung vertraulich\Florian\KI\"/>
    </mc:Choice>
  </mc:AlternateContent>
  <xr:revisionPtr revIDLastSave="0" documentId="8_{5C5B8177-AB10-414E-B2EB-52467F1CAD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Tabelle1!#REF!</definedName>
    <definedName name="_xlnm.Print_Area" localSheetId="0">Tabelle1!$A$1:$F$67,Tabelle1!$H$1:$M$67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E50" i="1"/>
  <c r="C50" i="1"/>
  <c r="J1" i="1"/>
</calcChain>
</file>

<file path=xl/sharedStrings.xml><?xml version="1.0" encoding="utf-8"?>
<sst xmlns="http://schemas.openxmlformats.org/spreadsheetml/2006/main" count="92" uniqueCount="59">
  <si>
    <t>Tisch</t>
  </si>
  <si>
    <t>Zimmer</t>
  </si>
  <si>
    <t>Gastname</t>
  </si>
  <si>
    <t>Pax</t>
  </si>
  <si>
    <t>Extras</t>
  </si>
  <si>
    <t> </t>
  </si>
  <si>
    <t>714</t>
  </si>
  <si>
    <t>633</t>
  </si>
  <si>
    <t>STAMM</t>
  </si>
  <si>
    <t>Day Spa</t>
  </si>
  <si>
    <t>Summe 600er</t>
  </si>
  <si>
    <t>Geburtstage</t>
  </si>
  <si>
    <t>Early Check in</t>
  </si>
  <si>
    <t>Änderungen</t>
  </si>
  <si>
    <t>Kat 1</t>
  </si>
  <si>
    <t>641,643,644,651,652,653,654,711,712,713,714,715,716,717,718,721,722,723,724,725,726,727</t>
  </si>
  <si>
    <t>Kat 2</t>
  </si>
  <si>
    <t>631,633,642,645,646,621,624,611,614,663,664,673,674,728,729,732,733</t>
  </si>
  <si>
    <t>Kat 3</t>
  </si>
  <si>
    <t>632,634,635,636,625,626,627,615,616,617,661,662,671,672,730,731,</t>
  </si>
  <si>
    <t>Kat 4</t>
  </si>
  <si>
    <t>612,613,622,623,741,742,743</t>
  </si>
  <si>
    <t>Kat 5</t>
  </si>
  <si>
    <t>Kat 6</t>
  </si>
  <si>
    <t>747,750</t>
  </si>
  <si>
    <t>Kat 7</t>
  </si>
  <si>
    <t>744,745,748</t>
  </si>
  <si>
    <t>Kat 8</t>
  </si>
  <si>
    <t>720,802,803,804,</t>
  </si>
  <si>
    <t xml:space="preserve">Ausschlüsse </t>
  </si>
  <si>
    <t>720,802,803,804</t>
  </si>
  <si>
    <t>Tischkategorien</t>
  </si>
  <si>
    <t>Tischkombinationen</t>
  </si>
  <si>
    <t>Tische</t>
  </si>
  <si>
    <t>Prio</t>
  </si>
  <si>
    <t>612-613</t>
  </si>
  <si>
    <t>622-623</t>
  </si>
  <si>
    <t>624-625</t>
  </si>
  <si>
    <t>633-634</t>
  </si>
  <si>
    <t>643-644</t>
  </si>
  <si>
    <t>728-729</t>
  </si>
  <si>
    <t>730-731</t>
  </si>
  <si>
    <t>732-733</t>
  </si>
  <si>
    <t>745-746</t>
  </si>
  <si>
    <t>744-746</t>
  </si>
  <si>
    <t>743-746</t>
  </si>
  <si>
    <t>747-748</t>
  </si>
  <si>
    <t>749-750</t>
  </si>
  <si>
    <t>4-6</t>
  </si>
  <si>
    <t>4</t>
  </si>
  <si>
    <t>4-5</t>
  </si>
  <si>
    <t>6-7</t>
  </si>
  <si>
    <t>10-11</t>
  </si>
  <si>
    <t>4-9</t>
  </si>
  <si>
    <t>Zimmernummer</t>
  </si>
  <si>
    <t>Datum des Plans</t>
  </si>
  <si>
    <t>nur Vergeben wenn nichts anderes möglich ist</t>
  </si>
  <si>
    <t>Personen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</si>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</sst>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</font>
    <font>
      <sz val="9"/>
      <color theme="1"/>
      <name val="Arial"/>
    </font>
    <font>
      <sz val="8"/>
      <color rgb="FF000000"/>
      <name val="Arial"/>
    </font>
    <font>
      <sz val="8"/>
      <color theme="1"/>
      <name val="Arial"/>
    </font>
    <font>
      <sz val="8"/>
      <color rgb="FF242424"/>
      <name val="Arial"/>
    </font>
    <font>
      <sz val="8"/>
      <color rgb="FF000000"/>
      <name val="Arial"/>
      <charset val="1"/>
    </font>
    <font>
      <b/>
      <sz val="8"/>
      <color theme="1"/>
      <name val="Arial"/>
    </font>
    <font>
      <b/>
      <sz val="8"/>
      <color rgb="FF000000"/>
      <name val="Arial"/>
      <charset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2" borderId="0" xfId="0" applyFont="1" applyFill="1"/>
    <xf numFmtId="0" fontId="4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5" fillId="0" borderId="6" xfId="0" applyFont="1" applyBorder="1"/>
    <xf numFmtId="49" fontId="3" fillId="0" borderId="5" xfId="0" applyNumberFormat="1" applyFont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/>
    </xf>
    <xf numFmtId="0" fontId="3" fillId="7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" fontId="3" fillId="7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6" borderId="6" xfId="0" applyFont="1" applyFill="1" applyBorder="1"/>
    <xf numFmtId="0" fontId="6" fillId="0" borderId="6" xfId="0" applyFont="1" applyBorder="1"/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/>
    <xf numFmtId="0" fontId="3" fillId="8" borderId="5" xfId="0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49" fontId="3" fillId="9" borderId="5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15" borderId="0" xfId="0" applyFont="1" applyFill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49" fontId="3" fillId="9" borderId="15" xfId="0" applyNumberFormat="1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49" fontId="3" fillId="8" borderId="15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3" fillId="12" borderId="15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vertical="center"/>
    </xf>
    <xf numFmtId="1" fontId="3" fillId="7" borderId="15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zoomScale="110" zoomScaleNormal="110" workbookViewId="0">
      <selection activeCell="J10" sqref="J10"/>
    </sheetView>
  </sheetViews>
  <sheetFormatPr baseColWidth="10" defaultColWidth="9.140625" defaultRowHeight="12.75" customHeight="1" x14ac:dyDescent="0.25"/>
  <cols>
    <col min="1" max="1" width="6.7109375" style="1" customWidth="1"/>
    <col min="2" max="2" width="3.7109375" style="1" customWidth="1"/>
    <col min="3" max="3" width="15.7109375" style="1" customWidth="1"/>
    <col min="4" max="4" width="23.85546875" style="1" customWidth="1"/>
    <col min="5" max="5" width="5.7109375" style="1" customWidth="1"/>
    <col min="6" max="6" width="67.28515625" style="1" customWidth="1"/>
    <col min="7" max="7" width="3.42578125" style="6" customWidth="1"/>
    <col min="8" max="8" width="6.7109375" style="1" customWidth="1"/>
    <col min="9" max="9" width="3.5703125" style="1" customWidth="1"/>
    <col min="10" max="10" width="15.7109375" style="7" customWidth="1"/>
    <col min="11" max="11" width="23.85546875" style="1" customWidth="1"/>
    <col min="12" max="12" width="5.7109375" style="1" customWidth="1"/>
    <col min="13" max="13" width="67.28515625" style="1" customWidth="1"/>
    <col min="14" max="16384" width="9.140625" style="1"/>
  </cols>
  <sheetData>
    <row r="1" spans="1:14" ht="12" customHeight="1" x14ac:dyDescent="0.25">
      <c r="A1" s="39"/>
      <c r="B1" s="116"/>
      <c r="C1" s="40">
        <f ca="1">NOW()-TODAY()</f>
        <v>0.85253622684831498</v>
      </c>
      <c r="D1" s="41" t="s">
        <v>55</v>
      </c>
      <c r="E1" s="41"/>
      <c r="F1" s="42"/>
      <c r="G1" s="13"/>
      <c r="H1" s="39"/>
      <c r="I1" s="116"/>
      <c r="J1" s="40">
        <f ca="1">NOW()-TODAY()</f>
        <v>0.85253622684831498</v>
      </c>
      <c r="K1" s="41" t="s">
        <v>55</v>
      </c>
      <c r="L1" s="59"/>
      <c r="M1" s="60"/>
    </row>
    <row r="2" spans="1:14" ht="12" customHeight="1" x14ac:dyDescent="0.25">
      <c r="A2" s="43"/>
      <c r="B2" s="117"/>
      <c r="C2" s="20" t="s">
        <v>5</v>
      </c>
      <c r="D2" s="20" t="s">
        <v>5</v>
      </c>
      <c r="E2" s="20" t="s">
        <v>5</v>
      </c>
      <c r="F2" s="44" t="s">
        <v>5</v>
      </c>
      <c r="G2" s="14"/>
      <c r="H2" s="43" t="s">
        <v>5</v>
      </c>
      <c r="I2" s="117"/>
      <c r="J2" s="21" t="s">
        <v>5</v>
      </c>
      <c r="K2" s="20" t="s">
        <v>5</v>
      </c>
      <c r="L2" s="20" t="s">
        <v>5</v>
      </c>
      <c r="M2" s="44" t="s">
        <v>5</v>
      </c>
    </row>
    <row r="3" spans="1:14" ht="12" customHeight="1" x14ac:dyDescent="0.25">
      <c r="A3" s="45" t="s">
        <v>0</v>
      </c>
      <c r="B3" s="118"/>
      <c r="C3" s="33" t="s">
        <v>54</v>
      </c>
      <c r="D3" s="23" t="s">
        <v>2</v>
      </c>
      <c r="E3" s="23" t="s">
        <v>3</v>
      </c>
      <c r="F3" s="46" t="s">
        <v>4</v>
      </c>
      <c r="G3" s="15"/>
      <c r="H3" s="45" t="s">
        <v>0</v>
      </c>
      <c r="I3" s="118"/>
      <c r="J3" s="22" t="s">
        <v>1</v>
      </c>
      <c r="K3" s="23" t="s">
        <v>2</v>
      </c>
      <c r="L3" s="23" t="s">
        <v>3</v>
      </c>
      <c r="M3" s="46" t="s">
        <v>4</v>
      </c>
    </row>
    <row r="4" spans="1:14" ht="12" customHeight="1" x14ac:dyDescent="0.25">
      <c r="A4" s="43" t="s">
        <v>5</v>
      </c>
      <c r="B4" s="117"/>
      <c r="C4" s="34"/>
      <c r="D4" s="20"/>
      <c r="E4" s="20"/>
      <c r="F4" s="47"/>
      <c r="G4" s="16"/>
      <c r="H4" s="43" t="s">
        <v>5</v>
      </c>
      <c r="I4" s="117"/>
      <c r="J4" s="21"/>
      <c r="K4" s="20"/>
      <c r="L4" s="20"/>
      <c r="M4" s="47"/>
    </row>
    <row r="5" spans="1:14" ht="12" customHeight="1" x14ac:dyDescent="0.2">
      <c r="A5" s="92">
        <v>611</v>
      </c>
      <c r="B5" s="119">
        <v>3</v>
      </c>
      <c r="C5" s="10"/>
      <c r="D5" s="3"/>
      <c r="E5" s="2"/>
      <c r="F5" s="79"/>
      <c r="G5" s="16"/>
      <c r="H5" s="86">
        <v>711</v>
      </c>
      <c r="I5" s="125">
        <v>3</v>
      </c>
      <c r="J5" s="10"/>
      <c r="K5" s="3"/>
      <c r="L5" s="2"/>
      <c r="M5" s="51"/>
    </row>
    <row r="6" spans="1:14" ht="12" customHeight="1" x14ac:dyDescent="0.25">
      <c r="A6" s="95">
        <v>612</v>
      </c>
      <c r="B6" s="120">
        <v>2</v>
      </c>
      <c r="C6" s="10"/>
      <c r="D6" s="3"/>
      <c r="E6" s="2"/>
      <c r="F6" s="49"/>
      <c r="G6" s="16"/>
      <c r="H6" s="86">
        <v>712</v>
      </c>
      <c r="I6" s="125">
        <v>3</v>
      </c>
      <c r="J6" s="10"/>
      <c r="K6" s="3"/>
      <c r="L6" s="2"/>
      <c r="M6" s="51"/>
    </row>
    <row r="7" spans="1:14" ht="12" customHeight="1" x14ac:dyDescent="0.2">
      <c r="A7" s="95">
        <v>613</v>
      </c>
      <c r="B7" s="120">
        <v>2</v>
      </c>
      <c r="C7" s="10"/>
      <c r="D7" s="3"/>
      <c r="E7" s="2"/>
      <c r="F7" s="49"/>
      <c r="G7" s="16"/>
      <c r="H7" s="86">
        <v>713</v>
      </c>
      <c r="I7" s="125">
        <v>3</v>
      </c>
      <c r="J7" s="10"/>
      <c r="K7" s="3"/>
      <c r="L7" s="2"/>
      <c r="M7" s="54"/>
    </row>
    <row r="8" spans="1:14" ht="12" customHeight="1" x14ac:dyDescent="0.25">
      <c r="A8" s="92">
        <v>614</v>
      </c>
      <c r="B8" s="119">
        <v>3</v>
      </c>
      <c r="C8" s="10"/>
      <c r="D8" s="3"/>
      <c r="E8" s="2"/>
      <c r="F8" s="49"/>
      <c r="G8" s="16"/>
      <c r="H8" s="87" t="s">
        <v>6</v>
      </c>
      <c r="I8" s="130" t="s">
        <v>58</v>
      </c>
      <c r="J8" s="3"/>
      <c r="K8" s="2"/>
      <c r="L8" s="2"/>
      <c r="M8" s="52"/>
    </row>
    <row r="9" spans="1:14" ht="12" customHeight="1" x14ac:dyDescent="0.25">
      <c r="A9" s="94">
        <v>615</v>
      </c>
      <c r="B9" s="121">
        <v>2</v>
      </c>
      <c r="C9" s="9"/>
      <c r="D9" s="3"/>
      <c r="E9" s="2"/>
      <c r="F9" s="52"/>
      <c r="G9" s="16"/>
      <c r="H9" s="86">
        <v>715</v>
      </c>
      <c r="I9" s="125">
        <v>2</v>
      </c>
      <c r="J9" s="9"/>
      <c r="K9" s="4"/>
      <c r="L9" s="2"/>
      <c r="M9" s="53"/>
    </row>
    <row r="10" spans="1:14" ht="12" customHeight="1" x14ac:dyDescent="0.25">
      <c r="A10" s="110">
        <v>616</v>
      </c>
      <c r="B10" s="122">
        <v>2</v>
      </c>
      <c r="C10" s="10"/>
      <c r="D10" s="3"/>
      <c r="E10" s="2"/>
      <c r="F10" s="49"/>
      <c r="G10" s="16"/>
      <c r="H10" s="88">
        <v>716</v>
      </c>
      <c r="I10" s="123">
        <v>2</v>
      </c>
      <c r="J10" s="9"/>
      <c r="K10" s="4"/>
      <c r="L10" s="2"/>
      <c r="M10" s="53"/>
    </row>
    <row r="11" spans="1:14" ht="12" customHeight="1" x14ac:dyDescent="0.25">
      <c r="A11" s="110">
        <v>617</v>
      </c>
      <c r="B11" s="122">
        <v>2</v>
      </c>
      <c r="C11" s="10"/>
      <c r="D11" s="3"/>
      <c r="E11" s="2"/>
      <c r="F11" s="49"/>
      <c r="G11" s="17"/>
      <c r="H11" s="88">
        <v>717</v>
      </c>
      <c r="I11" s="123">
        <v>2</v>
      </c>
      <c r="J11" s="9"/>
      <c r="K11" s="3"/>
      <c r="L11" s="2"/>
      <c r="M11" s="52"/>
    </row>
    <row r="12" spans="1:14" ht="12" customHeight="1" x14ac:dyDescent="0.25">
      <c r="A12" s="43"/>
      <c r="B12" s="117"/>
      <c r="C12" s="34"/>
      <c r="D12" s="20"/>
      <c r="E12" s="20"/>
      <c r="F12" s="47"/>
      <c r="G12" s="16"/>
      <c r="H12" s="92">
        <v>718</v>
      </c>
      <c r="I12" s="119">
        <v>2</v>
      </c>
      <c r="J12" s="10"/>
      <c r="K12" s="3"/>
      <c r="L12" s="2"/>
      <c r="M12" s="51"/>
      <c r="N12" s="11"/>
    </row>
    <row r="13" spans="1:14" ht="12" customHeight="1" x14ac:dyDescent="0.25">
      <c r="A13" s="92">
        <v>621</v>
      </c>
      <c r="B13" s="119">
        <v>3</v>
      </c>
      <c r="C13" s="10"/>
      <c r="D13" s="3"/>
      <c r="E13" s="2"/>
      <c r="F13" s="113"/>
      <c r="G13" s="16"/>
      <c r="H13" s="61"/>
      <c r="I13" s="131"/>
      <c r="J13" s="24"/>
      <c r="K13" s="24"/>
      <c r="L13" s="24"/>
      <c r="M13" s="62"/>
    </row>
    <row r="14" spans="1:14" ht="11.25" customHeight="1" x14ac:dyDescent="0.2">
      <c r="A14" s="95">
        <v>622</v>
      </c>
      <c r="B14" s="120">
        <v>2</v>
      </c>
      <c r="C14" s="10"/>
      <c r="D14" s="3"/>
      <c r="E14" s="112"/>
      <c r="F14" s="115"/>
      <c r="G14" s="16"/>
      <c r="H14" s="92">
        <v>721</v>
      </c>
      <c r="I14" s="119">
        <v>2</v>
      </c>
      <c r="J14" s="10"/>
      <c r="K14" s="3"/>
      <c r="L14" s="2"/>
      <c r="M14" s="79"/>
    </row>
    <row r="15" spans="1:14" ht="11.25" customHeight="1" x14ac:dyDescent="0.2">
      <c r="A15" s="95">
        <v>623</v>
      </c>
      <c r="B15" s="120">
        <v>2</v>
      </c>
      <c r="C15" s="9"/>
      <c r="D15" s="4"/>
      <c r="E15" s="2"/>
      <c r="F15" s="114"/>
      <c r="G15" s="16"/>
      <c r="H15" s="88">
        <v>722</v>
      </c>
      <c r="I15" s="123">
        <v>2</v>
      </c>
      <c r="J15" s="9"/>
      <c r="K15" s="12"/>
      <c r="L15" s="2"/>
      <c r="M15" s="51"/>
    </row>
    <row r="16" spans="1:14" ht="12" customHeight="1" x14ac:dyDescent="0.2">
      <c r="A16" s="92">
        <v>624</v>
      </c>
      <c r="B16" s="119">
        <v>3</v>
      </c>
      <c r="C16" s="10"/>
      <c r="D16" s="3"/>
      <c r="E16" s="2"/>
      <c r="F16" s="54"/>
      <c r="G16" s="5"/>
      <c r="H16" s="88">
        <v>723</v>
      </c>
      <c r="I16" s="123">
        <v>2</v>
      </c>
      <c r="J16" s="9"/>
      <c r="K16" s="4"/>
      <c r="L16" s="2"/>
      <c r="M16" s="51"/>
    </row>
    <row r="17" spans="1:14" ht="12" customHeight="1" x14ac:dyDescent="0.2">
      <c r="A17" s="92">
        <v>625</v>
      </c>
      <c r="B17" s="121">
        <v>2</v>
      </c>
      <c r="C17" s="10"/>
      <c r="D17" s="12"/>
      <c r="E17" s="2"/>
      <c r="F17" s="51"/>
      <c r="G17" s="16"/>
      <c r="H17" s="88">
        <v>724</v>
      </c>
      <c r="I17" s="123">
        <v>2</v>
      </c>
      <c r="J17" s="9"/>
      <c r="K17" s="3"/>
      <c r="L17" s="2"/>
      <c r="M17" s="51"/>
    </row>
    <row r="18" spans="1:14" ht="12" customHeight="1" x14ac:dyDescent="0.2">
      <c r="A18" s="95">
        <v>626</v>
      </c>
      <c r="B18" s="122">
        <v>2</v>
      </c>
      <c r="C18" s="10"/>
      <c r="D18" s="3"/>
      <c r="E18" s="2"/>
      <c r="F18" s="79"/>
      <c r="G18" s="16"/>
      <c r="H18" s="86">
        <v>725</v>
      </c>
      <c r="I18" s="125">
        <v>2</v>
      </c>
      <c r="J18" s="9"/>
      <c r="K18" s="3"/>
      <c r="L18" s="2"/>
      <c r="M18" s="51"/>
    </row>
    <row r="19" spans="1:14" ht="12" customHeight="1" x14ac:dyDescent="0.25">
      <c r="A19" s="95">
        <v>627</v>
      </c>
      <c r="B19" s="122">
        <v>2</v>
      </c>
      <c r="C19" s="9"/>
      <c r="D19" s="4"/>
      <c r="E19" s="2"/>
      <c r="F19" s="51"/>
      <c r="G19" s="16"/>
      <c r="H19" s="86">
        <v>726</v>
      </c>
      <c r="I19" s="125">
        <v>5</v>
      </c>
      <c r="J19" s="9"/>
      <c r="K19" s="4"/>
      <c r="L19" s="2"/>
      <c r="M19" s="81"/>
    </row>
    <row r="20" spans="1:14" ht="12" customHeight="1" x14ac:dyDescent="0.25">
      <c r="A20" s="43" t="s">
        <v>5</v>
      </c>
      <c r="B20" s="117"/>
      <c r="C20" s="34"/>
      <c r="D20" s="35"/>
      <c r="E20" s="20"/>
      <c r="F20" s="47"/>
      <c r="G20" s="16"/>
      <c r="H20" s="86">
        <v>727</v>
      </c>
      <c r="I20" s="125">
        <v>5</v>
      </c>
      <c r="J20" s="9"/>
      <c r="K20" s="4"/>
      <c r="L20" s="2"/>
      <c r="M20" s="80"/>
    </row>
    <row r="21" spans="1:14" ht="12" customHeight="1" x14ac:dyDescent="0.25">
      <c r="A21" s="88">
        <v>631</v>
      </c>
      <c r="B21" s="123">
        <v>3</v>
      </c>
      <c r="C21" s="10"/>
      <c r="D21" s="3"/>
      <c r="E21" s="2"/>
      <c r="F21" s="51"/>
      <c r="G21" s="16"/>
      <c r="H21" s="92">
        <v>728</v>
      </c>
      <c r="I21" s="119">
        <v>2</v>
      </c>
      <c r="J21" s="10"/>
      <c r="K21" s="3"/>
      <c r="L21" s="2"/>
      <c r="M21" s="67"/>
    </row>
    <row r="22" spans="1:14" ht="12" customHeight="1" x14ac:dyDescent="0.2">
      <c r="A22" s="88">
        <v>632</v>
      </c>
      <c r="B22" s="123">
        <v>3</v>
      </c>
      <c r="C22" s="10"/>
      <c r="D22" s="3"/>
      <c r="E22" s="2"/>
      <c r="F22" s="51"/>
      <c r="G22" s="16"/>
      <c r="H22" s="95">
        <v>729</v>
      </c>
      <c r="I22" s="120">
        <v>2</v>
      </c>
      <c r="J22" s="10"/>
      <c r="K22" s="3"/>
      <c r="L22" s="2"/>
      <c r="M22" s="54"/>
    </row>
    <row r="23" spans="1:14" ht="12" customHeight="1" x14ac:dyDescent="0.25">
      <c r="A23" s="89" t="s">
        <v>7</v>
      </c>
      <c r="B23" s="124" t="s">
        <v>58</v>
      </c>
      <c r="C23" s="9"/>
      <c r="D23" s="4"/>
      <c r="E23" s="2"/>
      <c r="F23" s="51"/>
      <c r="G23" s="16"/>
      <c r="H23" s="92">
        <v>730</v>
      </c>
      <c r="I23" s="119">
        <v>2</v>
      </c>
      <c r="J23" s="9"/>
      <c r="K23" s="4"/>
      <c r="L23" s="2"/>
      <c r="M23" s="53"/>
    </row>
    <row r="24" spans="1:14" ht="12" customHeight="1" x14ac:dyDescent="0.25">
      <c r="A24" s="88">
        <v>634</v>
      </c>
      <c r="B24" s="123">
        <v>2</v>
      </c>
      <c r="C24" s="10"/>
      <c r="D24" s="4"/>
      <c r="E24" s="2"/>
      <c r="F24" s="52"/>
      <c r="G24" s="16"/>
      <c r="H24" s="95">
        <v>731</v>
      </c>
      <c r="I24" s="120">
        <v>2</v>
      </c>
      <c r="J24" s="9"/>
      <c r="K24" s="3"/>
      <c r="L24" s="2"/>
      <c r="M24" s="52"/>
    </row>
    <row r="25" spans="1:14" ht="12" customHeight="1" x14ac:dyDescent="0.25">
      <c r="A25" s="92">
        <v>635</v>
      </c>
      <c r="B25" s="119">
        <v>2</v>
      </c>
      <c r="C25" s="10"/>
      <c r="D25" s="3"/>
      <c r="E25" s="2"/>
      <c r="F25" s="52"/>
      <c r="G25" s="16"/>
      <c r="H25" s="92">
        <v>732</v>
      </c>
      <c r="I25" s="119">
        <v>2</v>
      </c>
      <c r="J25" s="9"/>
      <c r="K25" s="4"/>
      <c r="L25" s="2"/>
      <c r="M25" s="80"/>
    </row>
    <row r="26" spans="1:14" ht="12" customHeight="1" x14ac:dyDescent="0.25">
      <c r="A26" s="92">
        <v>636</v>
      </c>
      <c r="B26" s="119">
        <v>2</v>
      </c>
      <c r="C26" s="10"/>
      <c r="D26" s="3"/>
      <c r="E26" s="2"/>
      <c r="F26" s="51"/>
      <c r="G26" s="16"/>
      <c r="H26" s="95">
        <v>733</v>
      </c>
      <c r="I26" s="120">
        <v>2</v>
      </c>
      <c r="J26" s="10"/>
      <c r="K26" s="3"/>
      <c r="L26" s="2"/>
      <c r="M26" s="49"/>
    </row>
    <row r="27" spans="1:14" ht="12" customHeight="1" x14ac:dyDescent="0.25">
      <c r="A27" s="43" t="s">
        <v>5</v>
      </c>
      <c r="B27" s="117"/>
      <c r="C27" s="34"/>
      <c r="D27" s="36"/>
      <c r="E27" s="20"/>
      <c r="F27" s="47"/>
      <c r="G27" s="16"/>
      <c r="H27" s="43" t="s">
        <v>5</v>
      </c>
      <c r="I27" s="117"/>
      <c r="J27" s="25"/>
      <c r="K27" s="26"/>
      <c r="L27" s="26"/>
      <c r="M27" s="63"/>
      <c r="N27" s="8"/>
    </row>
    <row r="28" spans="1:14" ht="12" customHeight="1" x14ac:dyDescent="0.25">
      <c r="A28" s="86">
        <v>641</v>
      </c>
      <c r="B28" s="125">
        <v>3</v>
      </c>
      <c r="C28" s="10"/>
      <c r="D28" s="3"/>
      <c r="E28" s="2"/>
      <c r="F28" s="51"/>
      <c r="G28" s="16"/>
      <c r="H28" s="97">
        <v>741</v>
      </c>
      <c r="I28" s="132">
        <v>4</v>
      </c>
      <c r="J28" s="10"/>
      <c r="K28" s="3"/>
      <c r="L28" s="2"/>
      <c r="M28" s="52"/>
    </row>
    <row r="29" spans="1:14" ht="12" customHeight="1" x14ac:dyDescent="0.25">
      <c r="A29" s="86">
        <v>642</v>
      </c>
      <c r="B29" s="125">
        <v>3</v>
      </c>
      <c r="C29" s="10"/>
      <c r="D29" s="3"/>
      <c r="E29" s="2"/>
      <c r="F29" s="49"/>
      <c r="G29" s="16"/>
      <c r="H29" s="97">
        <v>742</v>
      </c>
      <c r="I29" s="132">
        <v>4</v>
      </c>
      <c r="J29" s="10"/>
      <c r="K29" s="3"/>
      <c r="L29" s="2"/>
      <c r="M29" s="52"/>
    </row>
    <row r="30" spans="1:14" ht="12" customHeight="1" x14ac:dyDescent="0.25">
      <c r="A30" s="86">
        <v>643</v>
      </c>
      <c r="B30" s="125">
        <v>3</v>
      </c>
      <c r="C30" s="9"/>
      <c r="D30" s="3"/>
      <c r="E30" s="2"/>
      <c r="F30" s="52"/>
      <c r="G30" s="16"/>
      <c r="H30" s="97">
        <v>743</v>
      </c>
      <c r="I30" s="132">
        <v>4</v>
      </c>
      <c r="J30" s="10"/>
      <c r="K30" s="3"/>
      <c r="L30" s="2"/>
      <c r="M30" s="49"/>
    </row>
    <row r="31" spans="1:14" ht="12" customHeight="1" x14ac:dyDescent="0.25">
      <c r="A31" s="86">
        <v>644</v>
      </c>
      <c r="B31" s="125">
        <v>3</v>
      </c>
      <c r="C31" s="9"/>
      <c r="D31" s="4"/>
      <c r="E31" s="2"/>
      <c r="F31" s="51"/>
      <c r="G31" s="16"/>
      <c r="H31" s="100">
        <v>744</v>
      </c>
      <c r="I31" s="133">
        <v>2</v>
      </c>
      <c r="J31" s="10"/>
      <c r="K31" s="3"/>
      <c r="L31" s="2"/>
      <c r="M31" s="52"/>
    </row>
    <row r="32" spans="1:14" ht="12" customHeight="1" x14ac:dyDescent="0.25">
      <c r="A32" s="86">
        <v>645</v>
      </c>
      <c r="B32" s="125">
        <v>3</v>
      </c>
      <c r="C32" s="9"/>
      <c r="D32" s="4"/>
      <c r="E32" s="2"/>
      <c r="F32" s="51"/>
      <c r="G32" s="16"/>
      <c r="H32" s="100">
        <v>745</v>
      </c>
      <c r="I32" s="133">
        <v>2</v>
      </c>
      <c r="J32" s="10"/>
      <c r="K32" s="3"/>
      <c r="L32" s="2"/>
      <c r="M32" s="52"/>
    </row>
    <row r="33" spans="1:14" ht="12.75" customHeight="1" x14ac:dyDescent="0.25">
      <c r="A33" s="86">
        <v>646</v>
      </c>
      <c r="B33" s="125">
        <v>3</v>
      </c>
      <c r="C33" s="4"/>
      <c r="D33" s="3"/>
      <c r="E33" s="2"/>
      <c r="F33" s="51"/>
      <c r="G33" s="16"/>
      <c r="H33" s="97">
        <v>746</v>
      </c>
      <c r="I33" s="132">
        <v>3</v>
      </c>
      <c r="J33" s="10"/>
      <c r="K33" s="3"/>
      <c r="L33" s="2"/>
      <c r="M33" s="51"/>
    </row>
    <row r="34" spans="1:14" ht="12" customHeight="1" x14ac:dyDescent="0.2">
      <c r="A34" s="43" t="s">
        <v>5</v>
      </c>
      <c r="B34" s="117"/>
      <c r="C34" s="34"/>
      <c r="D34" s="35"/>
      <c r="E34" s="20"/>
      <c r="F34" s="47"/>
      <c r="G34" s="16"/>
      <c r="H34" s="99">
        <v>747</v>
      </c>
      <c r="I34" s="134">
        <v>3</v>
      </c>
      <c r="J34" s="10"/>
      <c r="K34" s="3"/>
      <c r="L34" s="2"/>
      <c r="M34" s="54"/>
    </row>
    <row r="35" spans="1:14" ht="12" customHeight="1" x14ac:dyDescent="0.2">
      <c r="A35" s="86">
        <v>651</v>
      </c>
      <c r="B35" s="125">
        <v>2</v>
      </c>
      <c r="C35" s="10"/>
      <c r="D35" s="3"/>
      <c r="E35" s="2"/>
      <c r="F35" s="67"/>
      <c r="G35" s="18"/>
      <c r="H35" s="100">
        <v>748</v>
      </c>
      <c r="I35" s="133">
        <v>2</v>
      </c>
      <c r="J35" s="10"/>
      <c r="K35" s="3"/>
      <c r="L35" s="2"/>
      <c r="M35" s="51"/>
    </row>
    <row r="36" spans="1:14" ht="12" customHeight="1" x14ac:dyDescent="0.25">
      <c r="A36" s="86">
        <v>652</v>
      </c>
      <c r="B36" s="125">
        <v>2</v>
      </c>
      <c r="C36" s="9"/>
      <c r="D36" s="4"/>
      <c r="E36" s="2"/>
      <c r="F36" s="73"/>
      <c r="G36" s="16"/>
      <c r="H36" s="97">
        <v>749</v>
      </c>
      <c r="I36" s="132">
        <v>3</v>
      </c>
      <c r="J36" s="9"/>
      <c r="K36" s="4"/>
      <c r="L36" s="2"/>
      <c r="M36" s="53"/>
    </row>
    <row r="37" spans="1:14" ht="12" customHeight="1" x14ac:dyDescent="0.25">
      <c r="A37" s="86">
        <v>653</v>
      </c>
      <c r="B37" s="125">
        <v>2</v>
      </c>
      <c r="C37" s="9"/>
      <c r="D37" s="4"/>
      <c r="E37" s="2"/>
      <c r="F37" s="49"/>
      <c r="G37" s="16"/>
      <c r="H37" s="99">
        <v>750</v>
      </c>
      <c r="I37" s="134">
        <v>2</v>
      </c>
      <c r="J37" s="9"/>
      <c r="K37" s="4"/>
      <c r="L37" s="2"/>
      <c r="M37" s="52"/>
    </row>
    <row r="38" spans="1:14" ht="12" customHeight="1" x14ac:dyDescent="0.2">
      <c r="A38" s="86">
        <v>654</v>
      </c>
      <c r="B38" s="125">
        <v>2</v>
      </c>
      <c r="C38" s="9"/>
      <c r="D38" s="4"/>
      <c r="E38" s="2"/>
      <c r="F38" s="51"/>
      <c r="G38" s="16"/>
      <c r="H38" s="64" t="s">
        <v>5</v>
      </c>
      <c r="I38" s="135"/>
      <c r="J38" s="27"/>
      <c r="K38" s="26"/>
      <c r="L38" s="26"/>
      <c r="M38" s="78"/>
    </row>
    <row r="39" spans="1:14" ht="12" customHeight="1" x14ac:dyDescent="0.25">
      <c r="A39" s="43" t="s">
        <v>5</v>
      </c>
      <c r="B39" s="117"/>
      <c r="C39" s="34"/>
      <c r="D39" s="20"/>
      <c r="E39" s="20"/>
      <c r="F39" s="56"/>
      <c r="G39" s="16"/>
      <c r="H39" s="111">
        <v>801</v>
      </c>
      <c r="I39" s="136"/>
      <c r="J39" s="9"/>
      <c r="K39" s="4"/>
      <c r="L39" s="2"/>
      <c r="M39" s="53"/>
    </row>
    <row r="40" spans="1:14" ht="12" customHeight="1" x14ac:dyDescent="0.25">
      <c r="A40" s="92">
        <v>661</v>
      </c>
      <c r="B40" s="119">
        <v>2</v>
      </c>
      <c r="C40" s="10"/>
      <c r="D40" s="3"/>
      <c r="E40" s="2"/>
      <c r="F40" s="51"/>
      <c r="G40" s="16"/>
      <c r="H40" s="105">
        <v>802</v>
      </c>
      <c r="I40" s="137"/>
      <c r="J40" s="10"/>
      <c r="K40" s="3"/>
      <c r="L40" s="2"/>
      <c r="M40" s="67"/>
    </row>
    <row r="41" spans="1:14" ht="12" customHeight="1" x14ac:dyDescent="0.25">
      <c r="A41" s="92">
        <v>662</v>
      </c>
      <c r="B41" s="119">
        <v>2</v>
      </c>
      <c r="C41" s="10"/>
      <c r="D41" s="3"/>
      <c r="E41" s="2"/>
      <c r="F41" s="51"/>
      <c r="H41" s="105">
        <v>803</v>
      </c>
      <c r="I41" s="137"/>
      <c r="J41" s="10"/>
      <c r="K41" s="3"/>
      <c r="L41" s="2"/>
      <c r="M41" s="49"/>
      <c r="N41" s="5"/>
    </row>
    <row r="42" spans="1:14" ht="12" customHeight="1" x14ac:dyDescent="0.25">
      <c r="A42" s="88">
        <v>663</v>
      </c>
      <c r="B42" s="123">
        <v>2</v>
      </c>
      <c r="C42" s="9"/>
      <c r="D42" s="4"/>
      <c r="E42" s="2"/>
      <c r="F42" s="49"/>
      <c r="G42" s="16"/>
      <c r="H42" s="105" t="s">
        <v>8</v>
      </c>
      <c r="I42" s="137"/>
      <c r="J42" s="10"/>
      <c r="K42" s="3"/>
      <c r="L42" s="2"/>
      <c r="M42" s="51"/>
      <c r="N42" s="11"/>
    </row>
    <row r="43" spans="1:14" ht="12" customHeight="1" x14ac:dyDescent="0.25">
      <c r="A43" s="88">
        <v>664</v>
      </c>
      <c r="B43" s="123">
        <v>2</v>
      </c>
      <c r="C43" s="9"/>
      <c r="D43" s="3"/>
      <c r="E43" s="2"/>
      <c r="F43" s="73"/>
      <c r="G43" s="16"/>
      <c r="H43" s="105">
        <v>720</v>
      </c>
      <c r="I43" s="137"/>
      <c r="J43" s="10"/>
      <c r="K43" s="3"/>
      <c r="L43" s="2"/>
      <c r="M43" s="51"/>
    </row>
    <row r="44" spans="1:14" ht="12" customHeight="1" x14ac:dyDescent="0.25">
      <c r="A44" s="43" t="s">
        <v>5</v>
      </c>
      <c r="B44" s="117"/>
      <c r="C44" s="34"/>
      <c r="D44" s="20"/>
      <c r="E44" s="20"/>
      <c r="F44" s="47"/>
      <c r="G44" s="16"/>
      <c r="H44" s="64"/>
      <c r="I44" s="135"/>
      <c r="J44" s="25"/>
      <c r="K44" s="26"/>
      <c r="L44" s="26"/>
      <c r="M44" s="63"/>
    </row>
    <row r="45" spans="1:14" ht="12" customHeight="1" x14ac:dyDescent="0.25">
      <c r="A45" s="92">
        <v>671</v>
      </c>
      <c r="B45" s="119">
        <v>2</v>
      </c>
      <c r="C45" s="9"/>
      <c r="D45" s="3"/>
      <c r="E45" s="2"/>
      <c r="F45" s="49"/>
      <c r="G45" s="16"/>
      <c r="H45" s="48"/>
      <c r="I45" s="126"/>
      <c r="J45" s="28"/>
      <c r="K45" s="3"/>
      <c r="L45" s="2"/>
      <c r="M45" s="52"/>
    </row>
    <row r="46" spans="1:14" ht="12" customHeight="1" x14ac:dyDescent="0.25">
      <c r="A46" s="92">
        <v>672</v>
      </c>
      <c r="B46" s="119">
        <v>2</v>
      </c>
      <c r="C46" s="10"/>
      <c r="D46" s="3"/>
      <c r="E46" s="2"/>
      <c r="F46" s="49"/>
      <c r="G46" s="16"/>
      <c r="H46" s="48" t="s">
        <v>5</v>
      </c>
      <c r="I46" s="126"/>
      <c r="J46" s="28"/>
      <c r="K46" s="3"/>
      <c r="L46" s="9"/>
      <c r="M46" s="52"/>
    </row>
    <row r="47" spans="1:14" ht="12" customHeight="1" x14ac:dyDescent="0.25">
      <c r="A47" s="88">
        <v>673</v>
      </c>
      <c r="B47" s="123">
        <v>2</v>
      </c>
      <c r="C47" s="10"/>
      <c r="D47" s="3"/>
      <c r="E47" s="2"/>
      <c r="F47" s="49"/>
      <c r="G47" s="16"/>
      <c r="H47" s="65"/>
      <c r="I47" s="138"/>
      <c r="J47" s="29"/>
      <c r="K47" s="30" t="s">
        <v>9</v>
      </c>
      <c r="L47" s="31"/>
      <c r="M47" s="66"/>
    </row>
    <row r="48" spans="1:14" ht="12" customHeight="1" x14ac:dyDescent="0.2">
      <c r="A48" s="88">
        <v>674</v>
      </c>
      <c r="B48" s="123">
        <v>2</v>
      </c>
      <c r="C48" s="9"/>
      <c r="D48" s="3"/>
      <c r="E48" s="2"/>
      <c r="F48" s="52"/>
      <c r="G48" s="18"/>
      <c r="H48" s="48"/>
      <c r="I48" s="126"/>
      <c r="J48" s="9"/>
      <c r="K48" s="4"/>
      <c r="L48" s="2"/>
      <c r="M48" s="53"/>
    </row>
    <row r="49" spans="1:14" ht="12" customHeight="1" x14ac:dyDescent="0.25">
      <c r="A49" s="43"/>
      <c r="B49" s="117"/>
      <c r="C49" s="20"/>
      <c r="D49" s="20"/>
      <c r="E49" s="20"/>
      <c r="F49" s="47"/>
      <c r="G49" s="16"/>
      <c r="H49" s="48"/>
      <c r="I49" s="126"/>
      <c r="J49" s="10"/>
      <c r="K49" s="4"/>
      <c r="L49" s="2"/>
      <c r="M49" s="53"/>
    </row>
    <row r="50" spans="1:14" ht="12" customHeight="1" x14ac:dyDescent="0.25">
      <c r="A50" s="48" t="s">
        <v>5</v>
      </c>
      <c r="B50" s="126"/>
      <c r="C50" s="2">
        <f>COUNTA(C5:C48)</f>
        <v>0</v>
      </c>
      <c r="D50" s="2" t="s">
        <v>10</v>
      </c>
      <c r="E50" s="2">
        <f>SUM(E5:E48)</f>
        <v>0</v>
      </c>
      <c r="F50" s="52" t="s">
        <v>5</v>
      </c>
      <c r="G50" s="16"/>
      <c r="H50" s="48"/>
      <c r="I50" s="126"/>
      <c r="J50" s="10"/>
      <c r="K50" s="4"/>
      <c r="L50" s="2"/>
      <c r="M50" s="49"/>
    </row>
    <row r="51" spans="1:14" ht="12" customHeight="1" x14ac:dyDescent="0.25">
      <c r="A51" s="43"/>
      <c r="B51" s="117"/>
      <c r="C51" s="20"/>
      <c r="D51" s="37" t="s">
        <v>11</v>
      </c>
      <c r="E51" s="20"/>
      <c r="F51" s="47"/>
      <c r="G51" s="16"/>
      <c r="H51" s="48"/>
      <c r="I51" s="126"/>
      <c r="J51" s="10"/>
      <c r="K51" s="4"/>
      <c r="L51" s="4"/>
      <c r="M51" s="67"/>
    </row>
    <row r="52" spans="1:14" ht="12" customHeight="1" x14ac:dyDescent="0.2">
      <c r="A52" s="82"/>
      <c r="B52" s="127"/>
      <c r="C52" s="83"/>
      <c r="D52" s="23"/>
      <c r="E52" s="84"/>
      <c r="F52" s="85"/>
      <c r="G52" s="16"/>
      <c r="H52" s="50"/>
      <c r="I52" s="128"/>
      <c r="J52" s="3"/>
      <c r="K52" s="4"/>
      <c r="L52" s="2"/>
      <c r="M52" s="67"/>
      <c r="N52" s="11"/>
    </row>
    <row r="53" spans="1:14" ht="12" customHeight="1" x14ac:dyDescent="0.2">
      <c r="A53" s="82"/>
      <c r="B53" s="127"/>
      <c r="C53" s="83"/>
      <c r="D53" s="23"/>
      <c r="E53" s="84"/>
      <c r="F53" s="85"/>
      <c r="G53" s="16"/>
      <c r="H53" s="48"/>
      <c r="I53" s="126"/>
      <c r="J53" s="9"/>
      <c r="K53" s="4"/>
      <c r="L53" s="4"/>
      <c r="M53" s="53"/>
    </row>
    <row r="54" spans="1:14" ht="12" customHeight="1" x14ac:dyDescent="0.25">
      <c r="A54" s="82"/>
      <c r="B54" s="127"/>
      <c r="C54" s="83"/>
      <c r="D54" s="23"/>
      <c r="E54" s="84"/>
      <c r="F54" s="73"/>
      <c r="G54" s="16"/>
      <c r="H54" s="50"/>
      <c r="I54" s="128"/>
      <c r="J54" s="3"/>
      <c r="K54" s="4"/>
      <c r="L54" s="4"/>
      <c r="M54" s="49"/>
    </row>
    <row r="55" spans="1:14" ht="12" customHeight="1" x14ac:dyDescent="0.25">
      <c r="A55" s="82"/>
      <c r="B55" s="127"/>
      <c r="C55" s="83"/>
      <c r="D55" s="23"/>
      <c r="E55" s="84"/>
      <c r="F55" s="73"/>
      <c r="G55" s="16"/>
      <c r="H55" s="50"/>
      <c r="I55" s="128"/>
      <c r="J55" s="3"/>
      <c r="K55" s="4"/>
      <c r="L55" s="77"/>
      <c r="M55" s="49"/>
    </row>
    <row r="56" spans="1:14" ht="12" customHeight="1" x14ac:dyDescent="0.2">
      <c r="A56" s="48"/>
      <c r="B56" s="126"/>
      <c r="C56" s="10"/>
      <c r="D56" s="3"/>
      <c r="E56" s="2"/>
      <c r="F56" s="79"/>
      <c r="G56" s="16"/>
      <c r="H56" s="50"/>
      <c r="I56" s="128"/>
      <c r="J56" s="3"/>
      <c r="K56" s="3"/>
      <c r="L56" s="2"/>
      <c r="M56" s="51"/>
      <c r="N56" s="72"/>
    </row>
    <row r="57" spans="1:14" ht="12" customHeight="1" x14ac:dyDescent="0.2">
      <c r="A57" s="48"/>
      <c r="B57" s="126"/>
      <c r="C57" s="9"/>
      <c r="D57" s="4"/>
      <c r="E57" s="2"/>
      <c r="F57" s="79"/>
      <c r="G57" s="16"/>
      <c r="H57" s="68"/>
      <c r="I57" s="139"/>
      <c r="J57" s="32"/>
      <c r="K57" s="30" t="s">
        <v>12</v>
      </c>
      <c r="L57" s="31"/>
      <c r="M57" s="66"/>
      <c r="N57" s="72"/>
    </row>
    <row r="58" spans="1:14" ht="12" customHeight="1" x14ac:dyDescent="0.25">
      <c r="A58" s="48"/>
      <c r="B58" s="126"/>
      <c r="C58" s="10"/>
      <c r="D58" s="3"/>
      <c r="E58" s="2"/>
      <c r="F58" s="49"/>
      <c r="G58" s="19"/>
      <c r="H58" s="55"/>
      <c r="I58" s="140"/>
      <c r="J58" s="9"/>
      <c r="K58" s="4"/>
      <c r="L58" s="2"/>
      <c r="M58" s="53"/>
    </row>
    <row r="59" spans="1:14" ht="12.75" customHeight="1" x14ac:dyDescent="0.25">
      <c r="A59" s="48"/>
      <c r="B59" s="126"/>
      <c r="C59" s="10"/>
      <c r="D59" s="3"/>
      <c r="E59" s="2"/>
      <c r="F59" s="49"/>
      <c r="H59" s="55"/>
      <c r="I59" s="140"/>
      <c r="J59" s="10"/>
      <c r="K59" s="4"/>
      <c r="L59" s="2"/>
      <c r="M59" s="51"/>
    </row>
    <row r="60" spans="1:14" ht="12.75" customHeight="1" x14ac:dyDescent="0.2">
      <c r="A60" s="48"/>
      <c r="B60" s="126"/>
      <c r="C60" s="9"/>
      <c r="D60" s="4"/>
      <c r="E60" s="2"/>
      <c r="F60" s="79"/>
      <c r="H60" s="55"/>
      <c r="I60" s="140"/>
      <c r="J60" s="10"/>
      <c r="K60" s="4"/>
      <c r="L60" s="2"/>
      <c r="M60" s="53"/>
    </row>
    <row r="61" spans="1:14" ht="12.75" customHeight="1" x14ac:dyDescent="0.25">
      <c r="A61" s="50"/>
      <c r="B61" s="128"/>
      <c r="C61" s="9"/>
      <c r="D61" s="4"/>
      <c r="E61" s="2"/>
      <c r="F61" s="49"/>
      <c r="H61" s="55"/>
      <c r="I61" s="140"/>
      <c r="J61" s="9"/>
      <c r="K61" s="3"/>
      <c r="L61" s="2"/>
      <c r="M61" s="52"/>
    </row>
    <row r="62" spans="1:14" ht="12.75" customHeight="1" x14ac:dyDescent="0.2">
      <c r="A62" s="48"/>
      <c r="B62" s="126"/>
      <c r="C62" s="10"/>
      <c r="D62" s="3"/>
      <c r="E62" s="2"/>
      <c r="F62" s="49"/>
      <c r="H62" s="48"/>
      <c r="I62" s="126"/>
      <c r="J62" s="10"/>
      <c r="K62" s="3"/>
      <c r="L62" s="2"/>
      <c r="M62" s="79"/>
    </row>
    <row r="63" spans="1:14" ht="12.75" customHeight="1" x14ac:dyDescent="0.2">
      <c r="A63" s="48"/>
      <c r="B63" s="126"/>
      <c r="C63" s="9"/>
      <c r="D63" s="4"/>
      <c r="E63" s="2"/>
      <c r="F63" s="49"/>
      <c r="H63" s="48"/>
      <c r="I63" s="126"/>
      <c r="J63" s="10"/>
      <c r="K63" s="3"/>
      <c r="L63" s="2"/>
      <c r="M63" s="79"/>
    </row>
    <row r="64" spans="1:14" ht="12.75" customHeight="1" x14ac:dyDescent="0.25">
      <c r="A64" s="48"/>
      <c r="B64" s="126"/>
      <c r="C64" s="10"/>
      <c r="D64" s="3"/>
      <c r="E64" s="2"/>
      <c r="F64" s="49"/>
      <c r="H64" s="48"/>
      <c r="I64" s="126"/>
      <c r="J64" s="10"/>
      <c r="K64" s="3"/>
      <c r="L64" s="2"/>
      <c r="M64" s="49"/>
    </row>
    <row r="65" spans="1:13" ht="12.75" customHeight="1" x14ac:dyDescent="0.25">
      <c r="A65" s="57"/>
      <c r="B65" s="129"/>
      <c r="C65" s="38"/>
      <c r="D65" s="30" t="s">
        <v>13</v>
      </c>
      <c r="E65" s="31"/>
      <c r="F65" s="58"/>
      <c r="H65" s="48"/>
      <c r="I65" s="126"/>
      <c r="J65" s="10"/>
      <c r="K65" s="3"/>
      <c r="L65" s="2"/>
      <c r="M65" s="49"/>
    </row>
    <row r="66" spans="1:13" ht="12.75" customHeight="1" x14ac:dyDescent="0.25">
      <c r="A66" s="48"/>
      <c r="B66" s="126"/>
      <c r="C66" s="10"/>
      <c r="D66" s="3"/>
      <c r="E66" s="2"/>
      <c r="F66" s="49"/>
      <c r="H66" s="69"/>
      <c r="I66" s="141"/>
      <c r="J66" s="4"/>
      <c r="K66" s="4"/>
      <c r="L66" s="4"/>
      <c r="M66" s="71"/>
    </row>
    <row r="67" spans="1:13" ht="12.75" customHeight="1" x14ac:dyDescent="0.25">
      <c r="A67" s="48"/>
      <c r="B67" s="126"/>
      <c r="C67" s="9"/>
      <c r="D67" s="4"/>
      <c r="E67" s="2"/>
      <c r="F67" s="53"/>
      <c r="H67" s="70"/>
      <c r="I67" s="142"/>
      <c r="J67" s="74"/>
      <c r="K67" s="75"/>
      <c r="L67" s="75"/>
      <c r="M67" s="76"/>
    </row>
    <row r="69" spans="1:13" ht="12.75" customHeight="1" x14ac:dyDescent="0.25">
      <c r="A69" s="143" t="s">
        <v>31</v>
      </c>
      <c r="B69" s="143"/>
      <c r="C69" s="143"/>
    </row>
    <row r="71" spans="1:13" ht="12.75" customHeight="1" x14ac:dyDescent="0.25">
      <c r="A71" s="90"/>
      <c r="B71" s="90"/>
      <c r="C71" s="103" t="s">
        <v>14</v>
      </c>
      <c r="D71" s="144" t="s">
        <v>15</v>
      </c>
      <c r="E71" s="144"/>
      <c r="F71" s="144"/>
    </row>
    <row r="72" spans="1:13" ht="12.75" customHeight="1" x14ac:dyDescent="0.25">
      <c r="A72" s="91"/>
      <c r="B72" s="91"/>
      <c r="C72" s="103" t="s">
        <v>16</v>
      </c>
      <c r="D72" s="144" t="s">
        <v>17</v>
      </c>
      <c r="E72" s="144"/>
      <c r="F72" s="144"/>
    </row>
    <row r="73" spans="1:13" ht="12.75" customHeight="1" x14ac:dyDescent="0.25">
      <c r="A73" s="93"/>
      <c r="B73" s="93"/>
      <c r="C73" s="103" t="s">
        <v>18</v>
      </c>
      <c r="D73" s="144" t="s">
        <v>19</v>
      </c>
      <c r="E73" s="144"/>
      <c r="F73" s="144"/>
    </row>
    <row r="74" spans="1:13" ht="12.75" customHeight="1" x14ac:dyDescent="0.25">
      <c r="A74" s="96"/>
      <c r="B74" s="96"/>
      <c r="C74" s="103" t="s">
        <v>20</v>
      </c>
      <c r="D74" s="144" t="s">
        <v>21</v>
      </c>
      <c r="E74" s="144"/>
      <c r="F74" s="144"/>
    </row>
    <row r="75" spans="1:13" ht="12.75" customHeight="1" x14ac:dyDescent="0.25">
      <c r="A75" s="98"/>
      <c r="B75" s="98"/>
      <c r="C75" s="103" t="s">
        <v>22</v>
      </c>
      <c r="D75" s="144">
        <v>746.74900000000002</v>
      </c>
      <c r="E75" s="144"/>
      <c r="F75" s="144"/>
    </row>
    <row r="76" spans="1:13" ht="12.75" customHeight="1" x14ac:dyDescent="0.25">
      <c r="A76" s="102"/>
      <c r="B76" s="102"/>
      <c r="C76" s="103" t="s">
        <v>23</v>
      </c>
      <c r="D76" s="144" t="s">
        <v>24</v>
      </c>
      <c r="E76" s="144"/>
      <c r="F76" s="144"/>
    </row>
    <row r="77" spans="1:13" ht="12.75" customHeight="1" x14ac:dyDescent="0.25">
      <c r="A77" s="101"/>
      <c r="B77" s="101"/>
      <c r="C77" s="103" t="s">
        <v>25</v>
      </c>
      <c r="D77" s="144" t="s">
        <v>26</v>
      </c>
      <c r="E77" s="144"/>
      <c r="F77" s="144"/>
    </row>
    <row r="78" spans="1:13" ht="12.75" customHeight="1" x14ac:dyDescent="0.25">
      <c r="A78" s="104"/>
      <c r="B78" s="104"/>
      <c r="C78" s="103" t="s">
        <v>27</v>
      </c>
      <c r="D78" s="144" t="s">
        <v>28</v>
      </c>
      <c r="E78" s="144"/>
      <c r="F78" s="144"/>
    </row>
    <row r="79" spans="1:13" ht="12.75" customHeight="1" x14ac:dyDescent="0.25">
      <c r="C79" s="103"/>
      <c r="D79" s="144"/>
      <c r="E79" s="144"/>
      <c r="F79" s="144"/>
    </row>
    <row r="80" spans="1:13" ht="12.75" customHeight="1" x14ac:dyDescent="0.25">
      <c r="A80" s="143" t="s">
        <v>29</v>
      </c>
      <c r="B80" s="143"/>
      <c r="C80" s="143"/>
      <c r="D80" s="103" t="s">
        <v>30</v>
      </c>
      <c r="F80" s="103" t="s">
        <v>56</v>
      </c>
    </row>
    <row r="83" spans="1:6" ht="12.75" customHeight="1" x14ac:dyDescent="0.25">
      <c r="A83" s="143" t="s">
        <v>32</v>
      </c>
      <c r="B83" s="143"/>
      <c r="C83" s="143"/>
    </row>
    <row r="85" spans="1:6" ht="12.75" customHeight="1" x14ac:dyDescent="0.25">
      <c r="A85" s="106" t="s">
        <v>34</v>
      </c>
      <c r="B85" s="106"/>
      <c r="C85" s="106" t="s">
        <v>33</v>
      </c>
      <c r="D85" s="106" t="s">
        <v>57</v>
      </c>
    </row>
    <row r="87" spans="1:6" ht="12.75" customHeight="1" x14ac:dyDescent="0.25">
      <c r="A87" s="1">
        <v>1</v>
      </c>
      <c r="C87" s="106" t="s">
        <v>35</v>
      </c>
      <c r="D87" s="108" t="s">
        <v>48</v>
      </c>
    </row>
    <row r="88" spans="1:6" ht="12.75" customHeight="1" x14ac:dyDescent="0.25">
      <c r="A88" s="1">
        <v>2</v>
      </c>
      <c r="C88" s="106" t="s">
        <v>36</v>
      </c>
      <c r="D88" s="107" t="s">
        <v>49</v>
      </c>
      <c r="F88" s="109"/>
    </row>
    <row r="89" spans="1:6" ht="12.75" customHeight="1" x14ac:dyDescent="0.25">
      <c r="A89" s="1">
        <v>3</v>
      </c>
      <c r="C89" s="106" t="s">
        <v>37</v>
      </c>
      <c r="D89" s="108" t="s">
        <v>50</v>
      </c>
    </row>
    <row r="90" spans="1:6" ht="12.75" customHeight="1" x14ac:dyDescent="0.25">
      <c r="A90" s="1">
        <v>4</v>
      </c>
      <c r="C90" s="106" t="s">
        <v>38</v>
      </c>
      <c r="D90" s="108" t="s">
        <v>50</v>
      </c>
    </row>
    <row r="91" spans="1:6" ht="12.75" customHeight="1" x14ac:dyDescent="0.25">
      <c r="A91" s="1">
        <v>5</v>
      </c>
      <c r="C91" s="106" t="s">
        <v>39</v>
      </c>
      <c r="D91" s="108" t="s">
        <v>48</v>
      </c>
    </row>
    <row r="92" spans="1:6" ht="12.75" customHeight="1" x14ac:dyDescent="0.25">
      <c r="A92" s="1">
        <v>6</v>
      </c>
      <c r="C92" s="106" t="s">
        <v>40</v>
      </c>
      <c r="D92" s="108" t="s">
        <v>48</v>
      </c>
    </row>
    <row r="93" spans="1:6" ht="12.75" customHeight="1" x14ac:dyDescent="0.25">
      <c r="A93" s="1">
        <v>7</v>
      </c>
      <c r="C93" s="106" t="s">
        <v>41</v>
      </c>
      <c r="D93" s="108" t="s">
        <v>48</v>
      </c>
    </row>
    <row r="94" spans="1:6" ht="12.75" customHeight="1" x14ac:dyDescent="0.25">
      <c r="A94" s="1">
        <v>8</v>
      </c>
      <c r="C94" s="106" t="s">
        <v>42</v>
      </c>
      <c r="D94" s="108" t="s">
        <v>48</v>
      </c>
    </row>
    <row r="95" spans="1:6" ht="12.75" customHeight="1" x14ac:dyDescent="0.25">
      <c r="A95" s="1">
        <v>9</v>
      </c>
      <c r="C95" s="106" t="s">
        <v>43</v>
      </c>
      <c r="D95" s="108" t="s">
        <v>50</v>
      </c>
    </row>
    <row r="96" spans="1:6" ht="12.75" customHeight="1" x14ac:dyDescent="0.25">
      <c r="A96" s="1">
        <v>10</v>
      </c>
      <c r="C96" s="106" t="s">
        <v>44</v>
      </c>
      <c r="D96" s="108" t="s">
        <v>51</v>
      </c>
    </row>
    <row r="97" spans="1:4" ht="12.75" customHeight="1" x14ac:dyDescent="0.25">
      <c r="A97" s="1">
        <v>11</v>
      </c>
      <c r="C97" s="106" t="s">
        <v>45</v>
      </c>
      <c r="D97" s="108" t="s">
        <v>52</v>
      </c>
    </row>
    <row r="98" spans="1:4" ht="12.75" customHeight="1" x14ac:dyDescent="0.25">
      <c r="A98" s="1">
        <v>12</v>
      </c>
      <c r="C98" s="106" t="s">
        <v>46</v>
      </c>
      <c r="D98" s="108" t="s">
        <v>48</v>
      </c>
    </row>
    <row r="99" spans="1:4" ht="12.75" customHeight="1" x14ac:dyDescent="0.25">
      <c r="A99" s="1">
        <v>13</v>
      </c>
      <c r="C99" s="106" t="s">
        <v>47</v>
      </c>
      <c r="D99" s="108" t="s">
        <v>53</v>
      </c>
    </row>
  </sheetData>
  <mergeCells count="12">
    <mergeCell ref="A69:C69"/>
    <mergeCell ref="A83:C83"/>
    <mergeCell ref="D77:F77"/>
    <mergeCell ref="D78:F78"/>
    <mergeCell ref="D79:F79"/>
    <mergeCell ref="A80:C80"/>
    <mergeCell ref="D71:F71"/>
    <mergeCell ref="D72:F72"/>
    <mergeCell ref="D73:F73"/>
    <mergeCell ref="D74:F74"/>
    <mergeCell ref="D75:F75"/>
    <mergeCell ref="D76:F76"/>
  </mergeCells>
  <pageMargins left="0.25" right="0.25" top="0.75" bottom="0.75" header="0.3" footer="0.3"/>
  <pageSetup paperSize="9" scale="83" fitToWidth="0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C0EB2B128561B4E8194F909DAE7612E" ma:contentTypeVersion="6" ma:contentTypeDescription="Ein neues Dokument erstellen." ma:contentTypeScope="" ma:versionID="449334106da9cbad550b50d88b7381d9">
  <xsd:schema xmlns:xsd="http://www.w3.org/2001/XMLSchema" xmlns:xs="http://www.w3.org/2001/XMLSchema" xmlns:p="http://schemas.microsoft.com/office/2006/metadata/properties" xmlns:ns2="76b53a15-d99d-425a-80b2-23f1c797612c" xmlns:ns3="c53affac-ea71-4954-aefb-bbd19eca389b" targetNamespace="http://schemas.microsoft.com/office/2006/metadata/properties" ma:root="true" ma:fieldsID="bb7b88743dfb074a0696e70d4fab3a58" ns2:_="" ns3:_="">
    <xsd:import namespace="76b53a15-d99d-425a-80b2-23f1c797612c"/>
    <xsd:import namespace="c53affac-ea71-4954-aefb-bbd19eca3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53a15-d99d-425a-80b2-23f1c7976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affac-ea71-4954-aefb-bbd19eca38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EA3EA2-524B-41BE-B583-391245175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b53a15-d99d-425a-80b2-23f1c797612c"/>
    <ds:schemaRef ds:uri="c53affac-ea71-4954-aefb-bbd19eca3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991C00-11C8-425E-A005-81391220EE3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67EC17A-92D3-4A2D-9780-FE6EEE7BBF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 Wanner</dc:creator>
  <cp:keywords/>
  <dc:description/>
  <cp:lastModifiedBy>PANORAMA  Allgäu Spa Resort</cp:lastModifiedBy>
  <cp:revision/>
  <dcterms:created xsi:type="dcterms:W3CDTF">2024-12-03T06:21:18Z</dcterms:created>
  <dcterms:modified xsi:type="dcterms:W3CDTF">2026-06-15T18:27:52Z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